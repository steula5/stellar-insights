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Meus Documentos\Resumo de Vendas\"/>
    </mc:Choice>
  </mc:AlternateContent>
  <xr:revisionPtr revIDLastSave="0" documentId="13_ncr:1_{E468B0EB-F565-4F5C-AA0C-86F5925F65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1" l="1"/>
  <c r="D46" i="1"/>
  <c r="F43" i="1" l="1"/>
  <c r="F5" i="1" l="1"/>
  <c r="E17" i="1" l="1"/>
  <c r="E11" i="1"/>
  <c r="E12" i="1" s="1"/>
  <c r="E43" i="1"/>
  <c r="E52" i="1" s="1"/>
  <c r="E5" i="1"/>
  <c r="E7" i="1" s="1"/>
  <c r="D54" i="1" l="1"/>
  <c r="D16" i="1"/>
  <c r="D15" i="1"/>
  <c r="D11" i="1"/>
  <c r="D51" i="1"/>
  <c r="D48" i="1"/>
  <c r="D34" i="1"/>
  <c r="D6" i="1"/>
  <c r="D5" i="1"/>
  <c r="D17" i="1" l="1"/>
  <c r="AQ3" i="1"/>
  <c r="AC52" i="1"/>
  <c r="AC17" i="1"/>
  <c r="AC12" i="1"/>
  <c r="L7" i="1"/>
  <c r="O6" i="1" l="1"/>
  <c r="AD6" i="1" s="1"/>
  <c r="AR6" i="1" s="1"/>
  <c r="J7" i="1"/>
  <c r="J52" i="1" l="1"/>
  <c r="J17" i="1" l="1"/>
  <c r="J12" i="1"/>
  <c r="O5" i="1" l="1"/>
  <c r="AD5" i="1" s="1"/>
  <c r="AR5" i="1" s="1"/>
  <c r="H52" i="1"/>
  <c r="H17" i="1"/>
  <c r="H12" i="1"/>
  <c r="H7" i="1"/>
  <c r="AP2" i="1"/>
  <c r="C12" i="1" l="1"/>
  <c r="AP55" i="1" l="1"/>
  <c r="AB52" i="1"/>
  <c r="AB17" i="1"/>
  <c r="AB12" i="1"/>
  <c r="AB7" i="1"/>
  <c r="AA7" i="1"/>
  <c r="N52" i="1"/>
  <c r="L52" i="1"/>
  <c r="M52" i="1"/>
  <c r="O30" i="1"/>
  <c r="O31" i="1"/>
  <c r="AQ30" i="1" l="1"/>
  <c r="AD30" i="1"/>
  <c r="AR30" i="1" s="1"/>
  <c r="AQ31" i="1"/>
  <c r="AD31" i="1"/>
  <c r="AR31" i="1" s="1"/>
  <c r="G52" i="1"/>
  <c r="AO8" i="1"/>
  <c r="AO9" i="1"/>
  <c r="AO10" i="1"/>
  <c r="AO11" i="1"/>
  <c r="Z17" i="1" l="1"/>
  <c r="X17" i="1"/>
  <c r="Y17" i="1"/>
  <c r="AO19" i="1" l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3" i="1"/>
  <c r="AO54" i="1"/>
  <c r="AO55" i="1"/>
  <c r="AO56" i="1"/>
  <c r="AO13" i="1"/>
  <c r="AO14" i="1"/>
  <c r="AO15" i="1"/>
  <c r="AO16" i="1"/>
  <c r="AO18" i="1"/>
  <c r="AO3" i="1" l="1"/>
  <c r="AO4" i="1"/>
  <c r="AO5" i="1"/>
  <c r="AO6" i="1"/>
  <c r="AO2" i="1"/>
  <c r="AO58" i="1" l="1"/>
  <c r="AA52" i="1"/>
  <c r="AA17" i="1"/>
  <c r="Z7" i="1"/>
  <c r="AA12" i="1"/>
  <c r="N12" i="1" l="1"/>
  <c r="L17" i="1" l="1"/>
  <c r="K52" i="1"/>
  <c r="C52" i="1"/>
  <c r="M12" i="1"/>
  <c r="L12" i="1" l="1"/>
  <c r="K17" i="1"/>
  <c r="K12" i="1"/>
  <c r="O56" i="1"/>
  <c r="AD56" i="1" s="1"/>
  <c r="AR56" i="1" s="1"/>
  <c r="I12" i="1"/>
  <c r="O18" i="1"/>
  <c r="AD18" i="1" s="1"/>
  <c r="AR18" i="1" s="1"/>
  <c r="G12" i="1"/>
  <c r="F12" i="1"/>
  <c r="D12" i="1"/>
  <c r="AN10" i="1"/>
  <c r="AN11" i="1"/>
  <c r="AF11" i="1"/>
  <c r="AG11" i="1"/>
  <c r="AH11" i="1"/>
  <c r="AI11" i="1"/>
  <c r="AJ11" i="1"/>
  <c r="AK11" i="1"/>
  <c r="AL11" i="1"/>
  <c r="AM11" i="1"/>
  <c r="Y12" i="1"/>
  <c r="X12" i="1"/>
  <c r="O11" i="1"/>
  <c r="AD11" i="1" s="1"/>
  <c r="AR11" i="1" s="1"/>
  <c r="O16" i="1"/>
  <c r="AD16" i="1" s="1"/>
  <c r="AR16" i="1" s="1"/>
  <c r="AP31" i="1"/>
  <c r="AN2" i="1"/>
  <c r="N17" i="1"/>
  <c r="M17" i="1"/>
  <c r="O51" i="1"/>
  <c r="AD51" i="1" s="1"/>
  <c r="AR51" i="1" s="1"/>
  <c r="AM51" i="1"/>
  <c r="AL51" i="1"/>
  <c r="AK51" i="1"/>
  <c r="AJ51" i="1"/>
  <c r="AI51" i="1"/>
  <c r="AH51" i="1"/>
  <c r="AG51" i="1"/>
  <c r="AF51" i="1"/>
  <c r="AI49" i="1"/>
  <c r="AH49" i="1"/>
  <c r="AM49" i="1"/>
  <c r="AL49" i="1"/>
  <c r="AK49" i="1"/>
  <c r="AJ49" i="1"/>
  <c r="AG49" i="1"/>
  <c r="AF49" i="1"/>
  <c r="AF46" i="1"/>
  <c r="AF44" i="1"/>
  <c r="AG44" i="1"/>
  <c r="AH44" i="1"/>
  <c r="AI44" i="1"/>
  <c r="AJ44" i="1"/>
  <c r="AK44" i="1"/>
  <c r="AL44" i="1"/>
  <c r="AM44" i="1"/>
  <c r="AF47" i="1"/>
  <c r="AG47" i="1"/>
  <c r="AH47" i="1"/>
  <c r="AI47" i="1"/>
  <c r="AJ47" i="1"/>
  <c r="AK47" i="1"/>
  <c r="AL47" i="1"/>
  <c r="AM47" i="1"/>
  <c r="I52" i="1"/>
  <c r="D52" i="1"/>
  <c r="O49" i="1"/>
  <c r="AD49" i="1" s="1"/>
  <c r="AR49" i="1" s="1"/>
  <c r="O47" i="1"/>
  <c r="AD47" i="1" s="1"/>
  <c r="AR47" i="1" s="1"/>
  <c r="O44" i="1"/>
  <c r="AD44" i="1" s="1"/>
  <c r="AR44" i="1" s="1"/>
  <c r="AF16" i="1"/>
  <c r="AG16" i="1"/>
  <c r="AH16" i="1"/>
  <c r="AI16" i="1"/>
  <c r="AJ16" i="1"/>
  <c r="AK16" i="1"/>
  <c r="AL16" i="1"/>
  <c r="AM16" i="1"/>
  <c r="R17" i="1"/>
  <c r="C17" i="1"/>
  <c r="I17" i="1"/>
  <c r="G17" i="1"/>
  <c r="F17" i="1"/>
  <c r="AN51" i="1"/>
  <c r="AN49" i="1"/>
  <c r="AN16" i="1"/>
  <c r="AN44" i="1"/>
  <c r="AN47" i="1"/>
  <c r="AM2" i="1"/>
  <c r="Y52" i="1"/>
  <c r="AM56" i="1"/>
  <c r="AM55" i="1"/>
  <c r="AM54" i="1"/>
  <c r="AM53" i="1"/>
  <c r="AM50" i="1"/>
  <c r="AM48" i="1"/>
  <c r="AM46" i="1"/>
  <c r="AM45" i="1"/>
  <c r="AM43" i="1"/>
  <c r="AM42" i="1"/>
  <c r="AM41" i="1"/>
  <c r="AM40" i="1"/>
  <c r="AM39" i="1"/>
  <c r="AM38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M22" i="1"/>
  <c r="AM21" i="1"/>
  <c r="AM20" i="1"/>
  <c r="AM19" i="1"/>
  <c r="AM18" i="1"/>
  <c r="AM15" i="1"/>
  <c r="AM14" i="1"/>
  <c r="AM13" i="1"/>
  <c r="AM10" i="1"/>
  <c r="AM9" i="1"/>
  <c r="AM8" i="1"/>
  <c r="AM6" i="1"/>
  <c r="AM5" i="1"/>
  <c r="AM4" i="1"/>
  <c r="AM3" i="1"/>
  <c r="AL2" i="1"/>
  <c r="Y7" i="1"/>
  <c r="O20" i="1"/>
  <c r="AD20" i="1" s="1"/>
  <c r="AR20" i="1" s="1"/>
  <c r="AN20" i="1"/>
  <c r="AK26" i="1"/>
  <c r="AJ26" i="1"/>
  <c r="AI26" i="1"/>
  <c r="AH26" i="1"/>
  <c r="AG26" i="1"/>
  <c r="AF26" i="1"/>
  <c r="AL26" i="1"/>
  <c r="AF25" i="1"/>
  <c r="AL56" i="1"/>
  <c r="AL55" i="1"/>
  <c r="AL54" i="1"/>
  <c r="AL53" i="1"/>
  <c r="AL50" i="1"/>
  <c r="AL48" i="1"/>
  <c r="AL46" i="1"/>
  <c r="AL45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5" i="1"/>
  <c r="AL24" i="1"/>
  <c r="AL23" i="1"/>
  <c r="AL22" i="1"/>
  <c r="AL21" i="1"/>
  <c r="AL20" i="1"/>
  <c r="AL19" i="1"/>
  <c r="AL18" i="1"/>
  <c r="AL15" i="1"/>
  <c r="AL14" i="1"/>
  <c r="AL13" i="1"/>
  <c r="AL10" i="1"/>
  <c r="AL9" i="1"/>
  <c r="AL8" i="1"/>
  <c r="AL6" i="1"/>
  <c r="AL5" i="1"/>
  <c r="AL4" i="1"/>
  <c r="AL3" i="1"/>
  <c r="AK2" i="1"/>
  <c r="X52" i="1"/>
  <c r="X7" i="1"/>
  <c r="S17" i="1"/>
  <c r="W17" i="1"/>
  <c r="V17" i="1"/>
  <c r="U17" i="1"/>
  <c r="T17" i="1"/>
  <c r="W7" i="1"/>
  <c r="V7" i="1"/>
  <c r="U7" i="1"/>
  <c r="T7" i="1"/>
  <c r="S7" i="1"/>
  <c r="R7" i="1"/>
  <c r="M7" i="1"/>
  <c r="K7" i="1"/>
  <c r="I7" i="1"/>
  <c r="G7" i="1"/>
  <c r="F7" i="1"/>
  <c r="D7" i="1"/>
  <c r="C7" i="1"/>
  <c r="AK18" i="1"/>
  <c r="AK3" i="1"/>
  <c r="AK8" i="1"/>
  <c r="AK9" i="1"/>
  <c r="AK10" i="1"/>
  <c r="AK4" i="1"/>
  <c r="AK19" i="1"/>
  <c r="AK20" i="1"/>
  <c r="AK13" i="1"/>
  <c r="AK21" i="1"/>
  <c r="AK5" i="1"/>
  <c r="AK22" i="1"/>
  <c r="AK23" i="1"/>
  <c r="AK14" i="1"/>
  <c r="AK24" i="1"/>
  <c r="AK25" i="1"/>
  <c r="AK27" i="1"/>
  <c r="AK28" i="1"/>
  <c r="AK29" i="1"/>
  <c r="AK30" i="1"/>
  <c r="AK31" i="1"/>
  <c r="AK32" i="1"/>
  <c r="AK33" i="1"/>
  <c r="AK6" i="1"/>
  <c r="AK34" i="1"/>
  <c r="AK35" i="1"/>
  <c r="AK36" i="1"/>
  <c r="AK37" i="1"/>
  <c r="AK38" i="1"/>
  <c r="AK39" i="1"/>
  <c r="AK40" i="1"/>
  <c r="AK41" i="1"/>
  <c r="AK42" i="1"/>
  <c r="AK43" i="1"/>
  <c r="AK45" i="1"/>
  <c r="AK46" i="1"/>
  <c r="AK48" i="1"/>
  <c r="AK50" i="1"/>
  <c r="AK53" i="1"/>
  <c r="AK54" i="1"/>
  <c r="AK55" i="1"/>
  <c r="AK56" i="1"/>
  <c r="AK15" i="1"/>
  <c r="AN6" i="1"/>
  <c r="O26" i="1"/>
  <c r="AD26" i="1" s="1"/>
  <c r="AR26" i="1" s="1"/>
  <c r="AN26" i="1"/>
  <c r="AF45" i="1"/>
  <c r="AG45" i="1"/>
  <c r="AH45" i="1"/>
  <c r="AI45" i="1"/>
  <c r="AJ45" i="1"/>
  <c r="AJ2" i="1"/>
  <c r="O45" i="1"/>
  <c r="AD45" i="1" s="1"/>
  <c r="AR45" i="1" s="1"/>
  <c r="AN45" i="1"/>
  <c r="AI15" i="1"/>
  <c r="AI56" i="1"/>
  <c r="AI55" i="1"/>
  <c r="AI54" i="1"/>
  <c r="AI53" i="1"/>
  <c r="AI50" i="1"/>
  <c r="AI48" i="1"/>
  <c r="AI46" i="1"/>
  <c r="AI43" i="1"/>
  <c r="AI42" i="1"/>
  <c r="AI41" i="1"/>
  <c r="AI40" i="1"/>
  <c r="AI39" i="1"/>
  <c r="AI38" i="1"/>
  <c r="AI37" i="1"/>
  <c r="AI36" i="1"/>
  <c r="AI35" i="1"/>
  <c r="AI34" i="1"/>
  <c r="AI6" i="1"/>
  <c r="AI33" i="1"/>
  <c r="AI32" i="1"/>
  <c r="AI31" i="1"/>
  <c r="AI30" i="1"/>
  <c r="AI29" i="1"/>
  <c r="AI28" i="1"/>
  <c r="AI27" i="1"/>
  <c r="AI25" i="1"/>
  <c r="AI24" i="1"/>
  <c r="AI14" i="1"/>
  <c r="AI23" i="1"/>
  <c r="AI22" i="1"/>
  <c r="AI5" i="1"/>
  <c r="AI21" i="1"/>
  <c r="AI13" i="1"/>
  <c r="AI20" i="1"/>
  <c r="AI19" i="1"/>
  <c r="AI4" i="1"/>
  <c r="AI10" i="1"/>
  <c r="AI9" i="1"/>
  <c r="AI8" i="1"/>
  <c r="AI3" i="1"/>
  <c r="AI18" i="1"/>
  <c r="AI2" i="1"/>
  <c r="AH2" i="1"/>
  <c r="AH15" i="1"/>
  <c r="AH56" i="1"/>
  <c r="AH55" i="1"/>
  <c r="AH54" i="1"/>
  <c r="AH53" i="1"/>
  <c r="AH50" i="1"/>
  <c r="AH48" i="1"/>
  <c r="AH46" i="1"/>
  <c r="AH43" i="1"/>
  <c r="AH42" i="1"/>
  <c r="AH41" i="1"/>
  <c r="AH40" i="1"/>
  <c r="AH39" i="1"/>
  <c r="AH38" i="1"/>
  <c r="AH37" i="1"/>
  <c r="AH36" i="1"/>
  <c r="AH35" i="1"/>
  <c r="AH34" i="1"/>
  <c r="AH6" i="1"/>
  <c r="AH33" i="1"/>
  <c r="AH32" i="1"/>
  <c r="AH31" i="1"/>
  <c r="AH30" i="1"/>
  <c r="AH29" i="1"/>
  <c r="AH28" i="1"/>
  <c r="AH27" i="1"/>
  <c r="AH25" i="1"/>
  <c r="AH24" i="1"/>
  <c r="AH14" i="1"/>
  <c r="AH23" i="1"/>
  <c r="AH22" i="1"/>
  <c r="AH5" i="1"/>
  <c r="AH21" i="1"/>
  <c r="AH13" i="1"/>
  <c r="AH20" i="1"/>
  <c r="AH19" i="1"/>
  <c r="AH4" i="1"/>
  <c r="AH10" i="1"/>
  <c r="AH9" i="1"/>
  <c r="AH8" i="1"/>
  <c r="AH3" i="1"/>
  <c r="AH18" i="1"/>
  <c r="AG2" i="1"/>
  <c r="AF33" i="1"/>
  <c r="AG33" i="1"/>
  <c r="O33" i="1"/>
  <c r="AD33" i="1" s="1"/>
  <c r="AR33" i="1" s="1"/>
  <c r="AN33" i="1"/>
  <c r="AJ33" i="1"/>
  <c r="AG15" i="1"/>
  <c r="AG56" i="1"/>
  <c r="AG55" i="1"/>
  <c r="AG54" i="1"/>
  <c r="AG50" i="1"/>
  <c r="AG48" i="1"/>
  <c r="AG46" i="1"/>
  <c r="AG43" i="1"/>
  <c r="AG53" i="1"/>
  <c r="AG42" i="1"/>
  <c r="AG41" i="1"/>
  <c r="AG40" i="1"/>
  <c r="AG39" i="1"/>
  <c r="AG38" i="1"/>
  <c r="AG37" i="1"/>
  <c r="AG36" i="1"/>
  <c r="AG35" i="1"/>
  <c r="AG34" i="1"/>
  <c r="AG6" i="1"/>
  <c r="AG32" i="1"/>
  <c r="AG31" i="1"/>
  <c r="AG30" i="1"/>
  <c r="AG29" i="1"/>
  <c r="AG28" i="1"/>
  <c r="AG27" i="1"/>
  <c r="AG25" i="1"/>
  <c r="AG24" i="1"/>
  <c r="AG14" i="1"/>
  <c r="AG23" i="1"/>
  <c r="AG22" i="1"/>
  <c r="AG5" i="1"/>
  <c r="AG21" i="1"/>
  <c r="AG13" i="1"/>
  <c r="AG20" i="1"/>
  <c r="AG19" i="1"/>
  <c r="AG4" i="1"/>
  <c r="AG10" i="1"/>
  <c r="AG9" i="1"/>
  <c r="AG8" i="1"/>
  <c r="AG3" i="1"/>
  <c r="AG18" i="1"/>
  <c r="AF15" i="1"/>
  <c r="AF56" i="1"/>
  <c r="AF55" i="1"/>
  <c r="AF54" i="1"/>
  <c r="AF50" i="1"/>
  <c r="AF48" i="1"/>
  <c r="AF43" i="1"/>
  <c r="AF53" i="1"/>
  <c r="AF42" i="1"/>
  <c r="AF41" i="1"/>
  <c r="AF40" i="1"/>
  <c r="AF39" i="1"/>
  <c r="AF38" i="1"/>
  <c r="AF37" i="1"/>
  <c r="AF36" i="1"/>
  <c r="AF35" i="1"/>
  <c r="AF34" i="1"/>
  <c r="AF6" i="1"/>
  <c r="AF32" i="1"/>
  <c r="AF31" i="1"/>
  <c r="AF30" i="1"/>
  <c r="AF29" i="1"/>
  <c r="AF28" i="1"/>
  <c r="AF27" i="1"/>
  <c r="AF24" i="1"/>
  <c r="AF14" i="1"/>
  <c r="AF23" i="1"/>
  <c r="AF22" i="1"/>
  <c r="AF5" i="1"/>
  <c r="AF21" i="1"/>
  <c r="AF13" i="1"/>
  <c r="AF20" i="1"/>
  <c r="AF19" i="1"/>
  <c r="AF4" i="1"/>
  <c r="AF10" i="1"/>
  <c r="AF9" i="1"/>
  <c r="AF8" i="1"/>
  <c r="AF3" i="1"/>
  <c r="AF18" i="1"/>
  <c r="AF2" i="1"/>
  <c r="O53" i="1"/>
  <c r="AD53" i="1" s="1"/>
  <c r="AR53" i="1" s="1"/>
  <c r="AN53" i="1"/>
  <c r="O42" i="1"/>
  <c r="AD42" i="1" s="1"/>
  <c r="AR42" i="1" s="1"/>
  <c r="O41" i="1"/>
  <c r="AD41" i="1" s="1"/>
  <c r="AR41" i="1" s="1"/>
  <c r="AN41" i="1"/>
  <c r="AN42" i="1"/>
  <c r="AJ42" i="1"/>
  <c r="AJ41" i="1"/>
  <c r="O35" i="1"/>
  <c r="AD35" i="1" s="1"/>
  <c r="AR35" i="1" s="1"/>
  <c r="AN35" i="1"/>
  <c r="AJ35" i="1"/>
  <c r="AN18" i="1"/>
  <c r="AJ18" i="1"/>
  <c r="O58" i="1"/>
  <c r="O38" i="1"/>
  <c r="AD38" i="1" s="1"/>
  <c r="AR38" i="1" s="1"/>
  <c r="O37" i="1"/>
  <c r="AN38" i="1"/>
  <c r="AN37" i="1"/>
  <c r="AJ38" i="1"/>
  <c r="AJ37" i="1"/>
  <c r="O15" i="1"/>
  <c r="AD15" i="1" s="1"/>
  <c r="AR15" i="1" s="1"/>
  <c r="O55" i="1"/>
  <c r="O54" i="1"/>
  <c r="AD54" i="1" s="1"/>
  <c r="AR54" i="1" s="1"/>
  <c r="O50" i="1"/>
  <c r="AD50" i="1" s="1"/>
  <c r="AR50" i="1" s="1"/>
  <c r="O48" i="1"/>
  <c r="AD48" i="1" s="1"/>
  <c r="AR48" i="1" s="1"/>
  <c r="O46" i="1"/>
  <c r="AD46" i="1" s="1"/>
  <c r="AR46" i="1" s="1"/>
  <c r="O43" i="1"/>
  <c r="AD43" i="1" s="1"/>
  <c r="AR43" i="1" s="1"/>
  <c r="O40" i="1"/>
  <c r="AD40" i="1" s="1"/>
  <c r="AR40" i="1" s="1"/>
  <c r="O39" i="1"/>
  <c r="AD39" i="1" s="1"/>
  <c r="AR39" i="1" s="1"/>
  <c r="O36" i="1"/>
  <c r="AD36" i="1" s="1"/>
  <c r="AR36" i="1" s="1"/>
  <c r="O34" i="1"/>
  <c r="AD34" i="1" s="1"/>
  <c r="AR34" i="1" s="1"/>
  <c r="O32" i="1"/>
  <c r="AD32" i="1" s="1"/>
  <c r="AR32" i="1" s="1"/>
  <c r="AN31" i="1"/>
  <c r="AP30" i="1"/>
  <c r="O29" i="1"/>
  <c r="AD29" i="1" s="1"/>
  <c r="AR29" i="1" s="1"/>
  <c r="O28" i="1"/>
  <c r="AD28" i="1" s="1"/>
  <c r="AR28" i="1" s="1"/>
  <c r="O27" i="1"/>
  <c r="AD27" i="1" s="1"/>
  <c r="AR27" i="1" s="1"/>
  <c r="O25" i="1"/>
  <c r="AD25" i="1" s="1"/>
  <c r="AR25" i="1" s="1"/>
  <c r="O24" i="1"/>
  <c r="AD24" i="1" s="1"/>
  <c r="AR24" i="1" s="1"/>
  <c r="O14" i="1"/>
  <c r="AD14" i="1" s="1"/>
  <c r="AR14" i="1" s="1"/>
  <c r="O23" i="1"/>
  <c r="AD23" i="1" s="1"/>
  <c r="AR23" i="1" s="1"/>
  <c r="O22" i="1"/>
  <c r="AD22" i="1" s="1"/>
  <c r="AR22" i="1" s="1"/>
  <c r="O21" i="1"/>
  <c r="AD21" i="1" s="1"/>
  <c r="AR21" i="1" s="1"/>
  <c r="O13" i="1"/>
  <c r="AD13" i="1" s="1"/>
  <c r="O19" i="1"/>
  <c r="AD19" i="1" s="1"/>
  <c r="AR19" i="1" s="1"/>
  <c r="O4" i="1"/>
  <c r="AD4" i="1" s="1"/>
  <c r="AR4" i="1" s="1"/>
  <c r="O10" i="1"/>
  <c r="AD10" i="1" s="1"/>
  <c r="AR10" i="1" s="1"/>
  <c r="O9" i="1"/>
  <c r="AD9" i="1" s="1"/>
  <c r="AR9" i="1" s="1"/>
  <c r="O8" i="1"/>
  <c r="AD8" i="1" s="1"/>
  <c r="O3" i="1"/>
  <c r="AD3" i="1" s="1"/>
  <c r="AR3" i="1" s="1"/>
  <c r="AN28" i="1"/>
  <c r="AN46" i="1"/>
  <c r="AN43" i="1"/>
  <c r="AN22" i="1"/>
  <c r="AN48" i="1"/>
  <c r="AN15" i="1"/>
  <c r="AN32" i="1"/>
  <c r="AN50" i="1"/>
  <c r="AN34" i="1"/>
  <c r="AN54" i="1"/>
  <c r="AN21" i="1"/>
  <c r="AN29" i="1"/>
  <c r="AN8" i="1"/>
  <c r="AN23" i="1"/>
  <c r="AN14" i="1"/>
  <c r="AN24" i="1"/>
  <c r="AN19" i="1"/>
  <c r="AN25" i="1"/>
  <c r="AN36" i="1"/>
  <c r="AN55" i="1"/>
  <c r="AN40" i="1"/>
  <c r="AN30" i="1"/>
  <c r="AN27" i="1"/>
  <c r="AN5" i="1"/>
  <c r="AN3" i="1"/>
  <c r="AN56" i="1"/>
  <c r="AN39" i="1"/>
  <c r="AN13" i="1"/>
  <c r="AN9" i="1"/>
  <c r="AN4" i="1"/>
  <c r="AJ27" i="1"/>
  <c r="AJ34" i="1"/>
  <c r="AJ15" i="1"/>
  <c r="AJ56" i="1"/>
  <c r="AJ55" i="1"/>
  <c r="AJ54" i="1"/>
  <c r="AJ50" i="1"/>
  <c r="AJ48" i="1"/>
  <c r="AJ46" i="1"/>
  <c r="AJ43" i="1"/>
  <c r="AJ53" i="1"/>
  <c r="AJ40" i="1"/>
  <c r="AJ39" i="1"/>
  <c r="AJ36" i="1"/>
  <c r="AJ6" i="1"/>
  <c r="AJ32" i="1"/>
  <c r="AJ31" i="1"/>
  <c r="AJ30" i="1"/>
  <c r="AJ29" i="1"/>
  <c r="AJ28" i="1"/>
  <c r="AJ25" i="1"/>
  <c r="AJ24" i="1"/>
  <c r="AJ14" i="1"/>
  <c r="AJ23" i="1"/>
  <c r="AJ22" i="1"/>
  <c r="AJ5" i="1"/>
  <c r="AJ21" i="1"/>
  <c r="AJ13" i="1"/>
  <c r="AJ20" i="1"/>
  <c r="AJ19" i="1"/>
  <c r="AJ4" i="1"/>
  <c r="AJ10" i="1"/>
  <c r="AJ9" i="1"/>
  <c r="AJ8" i="1"/>
  <c r="AJ3" i="1"/>
  <c r="AF58" i="1" l="1"/>
  <c r="AD58" i="1"/>
  <c r="AC58" i="1"/>
  <c r="AD37" i="1"/>
  <c r="AR37" i="1" s="1"/>
  <c r="O52" i="1"/>
  <c r="J59" i="1"/>
  <c r="AQ55" i="1"/>
  <c r="AD55" i="1"/>
  <c r="AR55" i="1" s="1"/>
  <c r="AD17" i="1"/>
  <c r="AR13" i="1"/>
  <c r="AD12" i="1"/>
  <c r="AR8" i="1"/>
  <c r="O17" i="1"/>
  <c r="AP26" i="1"/>
  <c r="AQ26" i="1"/>
  <c r="AP27" i="1"/>
  <c r="AQ27" i="1"/>
  <c r="AP25" i="1"/>
  <c r="AQ25" i="1"/>
  <c r="AP34" i="1"/>
  <c r="AQ34" i="1"/>
  <c r="AP35" i="1"/>
  <c r="AQ35" i="1"/>
  <c r="AP54" i="1"/>
  <c r="AQ54" i="1"/>
  <c r="AP56" i="1"/>
  <c r="AQ56" i="1"/>
  <c r="AP53" i="1"/>
  <c r="AQ53" i="1"/>
  <c r="AP51" i="1"/>
  <c r="AQ51" i="1"/>
  <c r="AP50" i="1"/>
  <c r="AQ50" i="1"/>
  <c r="AP49" i="1"/>
  <c r="AQ49" i="1"/>
  <c r="AP48" i="1"/>
  <c r="AQ48" i="1"/>
  <c r="AP47" i="1"/>
  <c r="AQ47" i="1"/>
  <c r="AP46" i="1"/>
  <c r="AQ46" i="1"/>
  <c r="AP45" i="1"/>
  <c r="AQ45" i="1"/>
  <c r="AP44" i="1"/>
  <c r="AQ44" i="1"/>
  <c r="AP43" i="1"/>
  <c r="AQ43" i="1"/>
  <c r="AP42" i="1"/>
  <c r="AQ42" i="1"/>
  <c r="AP41" i="1"/>
  <c r="AQ41" i="1"/>
  <c r="AP40" i="1"/>
  <c r="AQ40" i="1"/>
  <c r="AP39" i="1"/>
  <c r="AQ39" i="1"/>
  <c r="AP38" i="1"/>
  <c r="AQ38" i="1"/>
  <c r="AP37" i="1"/>
  <c r="AP36" i="1"/>
  <c r="AQ36" i="1"/>
  <c r="AP33" i="1"/>
  <c r="AQ33" i="1"/>
  <c r="AP32" i="1"/>
  <c r="AQ32" i="1"/>
  <c r="AP29" i="1"/>
  <c r="AQ29" i="1"/>
  <c r="AP28" i="1"/>
  <c r="AQ28" i="1"/>
  <c r="AP24" i="1"/>
  <c r="AQ24" i="1"/>
  <c r="AP23" i="1"/>
  <c r="AQ23" i="1"/>
  <c r="AP22" i="1"/>
  <c r="AQ22" i="1"/>
  <c r="AP21" i="1"/>
  <c r="AQ21" i="1"/>
  <c r="AP20" i="1"/>
  <c r="AQ20" i="1"/>
  <c r="AP19" i="1"/>
  <c r="AQ19" i="1"/>
  <c r="AP18" i="1"/>
  <c r="AQ18" i="1"/>
  <c r="AP16" i="1"/>
  <c r="AQ16" i="1"/>
  <c r="AP15" i="1"/>
  <c r="AQ15" i="1"/>
  <c r="AP14" i="1"/>
  <c r="AQ14" i="1"/>
  <c r="AQ13" i="1"/>
  <c r="AP11" i="1"/>
  <c r="AQ11" i="1"/>
  <c r="AP10" i="1"/>
  <c r="AQ10" i="1"/>
  <c r="AP9" i="1"/>
  <c r="AQ9" i="1"/>
  <c r="AQ8" i="1"/>
  <c r="AP6" i="1"/>
  <c r="AQ6" i="1"/>
  <c r="AP5" i="1"/>
  <c r="AQ5" i="1"/>
  <c r="AP4" i="1"/>
  <c r="AQ4" i="1"/>
  <c r="AP3" i="1"/>
  <c r="AP8" i="1"/>
  <c r="O12" i="1"/>
  <c r="AN58" i="1"/>
  <c r="AO59" i="1" s="1"/>
  <c r="AJ58" i="1"/>
  <c r="AH58" i="1"/>
  <c r="AI58" i="1"/>
  <c r="AL58" i="1"/>
  <c r="AP13" i="1"/>
  <c r="AG58" i="1"/>
  <c r="AK58" i="1"/>
  <c r="AM58" i="1"/>
  <c r="I59" i="1"/>
  <c r="L59" i="1"/>
  <c r="M59" i="1"/>
  <c r="E59" i="1"/>
  <c r="N59" i="1"/>
  <c r="G59" i="1"/>
  <c r="D59" i="1"/>
  <c r="K59" i="1"/>
  <c r="F59" i="1"/>
  <c r="H59" i="1"/>
  <c r="C59" i="1"/>
  <c r="AD52" i="1" l="1"/>
  <c r="AQ2" i="1"/>
  <c r="AC7" i="1"/>
  <c r="AP58" i="1"/>
  <c r="AP59" i="1" s="1"/>
  <c r="AK59" i="1"/>
  <c r="AQ37" i="1"/>
  <c r="AG59" i="1"/>
  <c r="AI59" i="1"/>
  <c r="AJ59" i="1"/>
  <c r="AN59" i="1"/>
  <c r="AH59" i="1"/>
  <c r="AL59" i="1"/>
  <c r="AM59" i="1"/>
  <c r="AQ58" i="1" l="1"/>
  <c r="AQ59" i="1" s="1"/>
  <c r="N7" i="1" l="1"/>
  <c r="O2" i="1"/>
  <c r="O7" i="1" s="1"/>
  <c r="AD2" i="1" l="1"/>
  <c r="AD7" i="1" l="1"/>
  <c r="AR2" i="1"/>
  <c r="AR58" i="1" s="1"/>
  <c r="AR59" i="1" s="1"/>
</calcChain>
</file>

<file path=xl/sharedStrings.xml><?xml version="1.0" encoding="utf-8"?>
<sst xmlns="http://schemas.openxmlformats.org/spreadsheetml/2006/main" count="190" uniqueCount="130">
  <si>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</si>
  <si>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</si>
  <si>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</si>
  <si>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</si>
  <si>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</si>
  <si>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</si>
  <si>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</si>
  <si>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</si>
  <si>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</si>
  <si>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</si>
  <si>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</si>
  <si>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</si>
  <si>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</t>
  </si>
  <si>
    <t>MS 2</t>
  </si>
  <si>
    <t>MS 3</t>
  </si>
  <si>
    <t>MS 4</t>
  </si>
  <si>
    <t>MS 5</t>
  </si>
  <si>
    <t>BC 118-CR</t>
  </si>
  <si>
    <t>BC 119-CR</t>
  </si>
  <si>
    <t>Total bicos duplos</t>
  </si>
  <si>
    <t>MS 6</t>
  </si>
  <si>
    <t>MS 7</t>
  </si>
  <si>
    <t>MS 11</t>
  </si>
  <si>
    <t>MS 13</t>
  </si>
  <si>
    <t>MS 15</t>
  </si>
  <si>
    <t>MS 16</t>
  </si>
  <si>
    <t>MS 17</t>
  </si>
  <si>
    <t>MS 18</t>
  </si>
  <si>
    <t>MS 27</t>
  </si>
  <si>
    <t>FRL</t>
  </si>
  <si>
    <t xml:space="preserve">FR </t>
  </si>
  <si>
    <t>FT</t>
  </si>
  <si>
    <t>RP</t>
  </si>
  <si>
    <t>LB</t>
  </si>
  <si>
    <t>BC 50</t>
  </si>
  <si>
    <t>Valv. Esfera + torneiras</t>
  </si>
  <si>
    <t>Aspersores</t>
  </si>
  <si>
    <t>MS 36</t>
  </si>
  <si>
    <t>MS 35</t>
  </si>
  <si>
    <t>MS 25</t>
  </si>
  <si>
    <t>MS 30</t>
  </si>
  <si>
    <t>Aerógrafos</t>
  </si>
  <si>
    <t>BC 75</t>
  </si>
  <si>
    <t>BC 77</t>
  </si>
  <si>
    <t>BC 80</t>
  </si>
  <si>
    <t>BC80</t>
  </si>
  <si>
    <t>Total pistolas pintura</t>
  </si>
  <si>
    <t>Calibradores caneta</t>
  </si>
  <si>
    <t>Profundímetro BC 116</t>
  </si>
  <si>
    <t>Profundímetro</t>
  </si>
  <si>
    <t>Tarracha</t>
  </si>
  <si>
    <t>Bicos bola - BC 115</t>
  </si>
  <si>
    <t>Variação (%)</t>
  </si>
  <si>
    <t>OBSERVAÇÕES :</t>
  </si>
  <si>
    <t>3) A variação (%) indicada representa a variação em relação à média final do ano analisado.</t>
  </si>
  <si>
    <t>média 2014</t>
  </si>
  <si>
    <t>BASE</t>
  </si>
  <si>
    <t xml:space="preserve">MS 2 </t>
  </si>
  <si>
    <t xml:space="preserve"> = Obter a partir de relatório por família (1 só família)</t>
  </si>
  <si>
    <t xml:space="preserve"> = Obter a partir de relatório por família (+ de 1 família)</t>
  </si>
  <si>
    <t xml:space="preserve"> = Obter a partir de relatório por produto</t>
  </si>
  <si>
    <t xml:space="preserve"> 45+46+47+102</t>
  </si>
  <si>
    <t xml:space="preserve"> 50+103</t>
  </si>
  <si>
    <t xml:space="preserve"> = Obter a partir de relatório por produto multiplicando pelo comprimento</t>
  </si>
  <si>
    <t>54 a 56</t>
  </si>
  <si>
    <t>Esguichos linha jardim</t>
  </si>
  <si>
    <t xml:space="preserve">Aspersores </t>
  </si>
  <si>
    <t>1 item</t>
  </si>
  <si>
    <t>Fat2016</t>
  </si>
  <si>
    <t>MS 31</t>
  </si>
  <si>
    <t>MS 32</t>
  </si>
  <si>
    <t>média 2015</t>
  </si>
  <si>
    <t>média 2016</t>
  </si>
  <si>
    <t>Pistolas emborrachento</t>
  </si>
  <si>
    <t>Fat2014</t>
  </si>
  <si>
    <t>Fat2015</t>
  </si>
  <si>
    <t>PGA</t>
  </si>
  <si>
    <t xml:space="preserve"> </t>
  </si>
  <si>
    <t>média 2017</t>
  </si>
  <si>
    <t>Fat2017</t>
  </si>
  <si>
    <t>média 2018</t>
  </si>
  <si>
    <t>Fat2018</t>
  </si>
  <si>
    <t>BC 74</t>
  </si>
  <si>
    <t>média 2019</t>
  </si>
  <si>
    <t>Fat2019</t>
  </si>
  <si>
    <t>Conexões instantâneas</t>
  </si>
  <si>
    <t>FAMILIAS</t>
  </si>
  <si>
    <t>Total bicos limpeza</t>
  </si>
  <si>
    <t>Total bicos encher simples</t>
  </si>
  <si>
    <t>Tarrachas BC 117</t>
  </si>
  <si>
    <t>2 itens</t>
  </si>
  <si>
    <t>média 2020</t>
  </si>
  <si>
    <t>Fat2020</t>
  </si>
  <si>
    <t>média 2021</t>
  </si>
  <si>
    <t>Fat2021</t>
  </si>
  <si>
    <t>média 2022</t>
  </si>
  <si>
    <t>Fat2022</t>
  </si>
  <si>
    <t>1) As espirais são computadas em m (todos os tipos juntas) e somadas ao comprimento dos rolos de PU lisos.</t>
  </si>
  <si>
    <t>2) A quantidade de conexões é extraída diretamente do resumo de vendas, sem calcular as que são vendidas montadas em outros produtos ou junto com outros produtos. A abraçadeira não entrada no cálculo.</t>
  </si>
  <si>
    <t>Espirais + tubos rolo (m)</t>
  </si>
  <si>
    <t>MS 21</t>
  </si>
  <si>
    <t>BC 76</t>
  </si>
  <si>
    <t>BC 79</t>
  </si>
  <si>
    <t>BC 85</t>
  </si>
  <si>
    <t>BC 73</t>
  </si>
  <si>
    <t>Venda s/IPI, s/ST, s/bonif - devolução-R$</t>
  </si>
  <si>
    <t>média 2023</t>
  </si>
  <si>
    <t>Fat2023</t>
  </si>
  <si>
    <t xml:space="preserve">Total bicos encher duplos </t>
  </si>
  <si>
    <t>MS 8 + BC 52</t>
  </si>
  <si>
    <t xml:space="preserve"> 6 itens</t>
  </si>
  <si>
    <t>RP + VCP</t>
  </si>
  <si>
    <t>Fat2024</t>
  </si>
  <si>
    <t>média 2024</t>
  </si>
  <si>
    <t>BC 122</t>
  </si>
  <si>
    <t>BC 70 + BC 72</t>
  </si>
  <si>
    <t>BC 70+BC72</t>
  </si>
  <si>
    <t>média 2025</t>
  </si>
  <si>
    <t>Fat2025</t>
  </si>
  <si>
    <t>4 itens</t>
  </si>
  <si>
    <t>MS 18 + BC 123-CR-1</t>
  </si>
  <si>
    <t>7 itens</t>
  </si>
  <si>
    <t>Conexões em latão / alumínio</t>
  </si>
  <si>
    <t>Conexões latão, alum.</t>
  </si>
  <si>
    <t>média 2026</t>
  </si>
  <si>
    <t>Fat2026</t>
  </si>
  <si>
    <t>RESUMO VENDAS - 2026</t>
  </si>
  <si>
    <t>8 itens</t>
  </si>
  <si>
    <t>108+149</t>
  </si>
  <si>
    <t>11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</si>
</sst>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9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0" fillId="0" borderId="0" xfId="0" applyProtection="1">
      <protection locked="0"/>
    </xf>
    <xf numFmtId="1" fontId="0" fillId="0" borderId="0" xfId="0" applyNumberFormat="1"/>
    <xf numFmtId="0" fontId="3" fillId="0" borderId="0" xfId="0" applyFont="1" applyAlignment="1" applyProtection="1">
      <alignment horizontal="right"/>
      <protection locked="0"/>
    </xf>
    <xf numFmtId="0" fontId="0" fillId="2" borderId="0" xfId="0" applyFill="1"/>
    <xf numFmtId="3" fontId="3" fillId="2" borderId="0" xfId="0" applyNumberFormat="1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3" borderId="0" xfId="0" applyFont="1" applyFill="1" applyAlignment="1">
      <alignment horizontal="right"/>
    </xf>
    <xf numFmtId="165" fontId="0" fillId="0" borderId="0" xfId="0" applyNumberFormat="1"/>
    <xf numFmtId="0" fontId="3" fillId="0" borderId="0" xfId="0" quotePrefix="1" applyFont="1" applyAlignment="1" applyProtection="1">
      <alignment horizontal="right"/>
      <protection locked="0"/>
    </xf>
    <xf numFmtId="0" fontId="0" fillId="0" borderId="0" xfId="0" quotePrefix="1" applyAlignment="1" applyProtection="1">
      <alignment horizontal="right"/>
      <protection locked="0"/>
    </xf>
    <xf numFmtId="3" fontId="3" fillId="0" borderId="0" xfId="0" quotePrefix="1" applyNumberFormat="1" applyFont="1" applyAlignment="1" applyProtection="1">
      <alignment horizontal="right"/>
      <protection locked="0"/>
    </xf>
    <xf numFmtId="0" fontId="4" fillId="0" borderId="0" xfId="0" applyFont="1"/>
    <xf numFmtId="165" fontId="3" fillId="0" borderId="0" xfId="0" applyNumberFormat="1" applyFont="1"/>
    <xf numFmtId="0" fontId="2" fillId="0" borderId="0" xfId="0" applyFont="1"/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4" borderId="0" xfId="0" applyNumberFormat="1" applyFont="1" applyFill="1"/>
    <xf numFmtId="1" fontId="5" fillId="4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49" fontId="0" fillId="8" borderId="0" xfId="0" applyNumberFormat="1" applyFill="1"/>
    <xf numFmtId="49" fontId="0" fillId="0" borderId="0" xfId="0" applyNumberFormat="1"/>
    <xf numFmtId="4" fontId="3" fillId="0" borderId="0" xfId="0" quotePrefix="1" applyNumberFormat="1" applyFont="1" applyAlignment="1" applyProtection="1">
      <alignment horizontal="right"/>
      <protection locked="0"/>
    </xf>
    <xf numFmtId="0" fontId="0" fillId="5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6" borderId="1" xfId="0" applyFill="1" applyBorder="1"/>
    <xf numFmtId="0" fontId="0" fillId="2" borderId="1" xfId="0" applyFill="1" applyBorder="1"/>
    <xf numFmtId="0" fontId="0" fillId="5" borderId="1" xfId="0" applyFill="1" applyBorder="1" applyAlignment="1">
      <alignment horizontal="right"/>
    </xf>
    <xf numFmtId="0" fontId="0" fillId="0" borderId="0" xfId="0" applyAlignment="1" applyProtection="1">
      <alignment horizontal="right"/>
      <protection locked="0"/>
    </xf>
    <xf numFmtId="1" fontId="5" fillId="9" borderId="0" xfId="0" applyNumberFormat="1" applyFont="1" applyFill="1"/>
    <xf numFmtId="1" fontId="5" fillId="3" borderId="0" xfId="0" applyNumberFormat="1" applyFont="1" applyFill="1"/>
    <xf numFmtId="2" fontId="0" fillId="3" borderId="0" xfId="0" applyNumberFormat="1" applyFill="1" applyAlignment="1">
      <alignment horizontal="right"/>
    </xf>
    <xf numFmtId="2" fontId="0" fillId="3" borderId="0" xfId="0" applyNumberFormat="1" applyFill="1"/>
    <xf numFmtId="1" fontId="1" fillId="0" borderId="0" xfId="0" applyNumberFormat="1" applyFont="1"/>
    <xf numFmtId="4" fontId="0" fillId="0" borderId="0" xfId="0" applyNumberFormat="1" applyProtection="1">
      <protection locked="0"/>
    </xf>
    <xf numFmtId="4" fontId="0" fillId="0" borderId="0" xfId="0" applyNumberFormat="1"/>
    <xf numFmtId="2" fontId="2" fillId="0" borderId="0" xfId="0" applyNumberFormat="1" applyFont="1" applyAlignment="1">
      <alignment horizontal="center"/>
    </xf>
    <xf numFmtId="2" fontId="0" fillId="2" borderId="0" xfId="0" applyNumberFormat="1" applyFill="1"/>
    <xf numFmtId="2" fontId="2" fillId="0" borderId="0" xfId="0" applyNumberFormat="1" applyFont="1"/>
    <xf numFmtId="0" fontId="1" fillId="0" borderId="0" xfId="0" applyFont="1" applyAlignment="1" applyProtection="1">
      <alignment horizontal="right"/>
      <protection locked="0"/>
    </xf>
    <xf numFmtId="4" fontId="7" fillId="0" borderId="0" xfId="0" applyNumberFormat="1" applyFont="1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3" borderId="0" xfId="0" applyFill="1"/>
    <xf numFmtId="1" fontId="0" fillId="0" borderId="0" xfId="0" applyNumberFormat="1" applyProtection="1">
      <protection locked="0"/>
    </xf>
    <xf numFmtId="0" fontId="6" fillId="5" borderId="1" xfId="0" applyFont="1" applyFill="1" applyBorder="1"/>
    <xf numFmtId="3" fontId="6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 applyProtection="1">
      <alignment horizontal="right"/>
      <protection locked="0"/>
    </xf>
    <xf numFmtId="3" fontId="6" fillId="2" borderId="0" xfId="0" applyNumberFormat="1" applyFont="1" applyFill="1" applyAlignment="1">
      <alignment horizontal="right"/>
    </xf>
    <xf numFmtId="0" fontId="6" fillId="0" borderId="0" xfId="0" applyFont="1" applyProtection="1">
      <protection locked="0"/>
    </xf>
    <xf numFmtId="0" fontId="6" fillId="0" borderId="0" xfId="0" quotePrefix="1" applyFont="1" applyAlignment="1" applyProtection="1">
      <alignment horizontal="right"/>
      <protection locked="0"/>
    </xf>
    <xf numFmtId="1" fontId="0" fillId="0" borderId="1" xfId="0" applyNumberFormat="1" applyBorder="1"/>
    <xf numFmtId="3" fontId="1" fillId="2" borderId="0" xfId="0" applyNumberFormat="1" applyFont="1" applyFill="1" applyAlignment="1">
      <alignment horizontal="right"/>
    </xf>
    <xf numFmtId="3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right"/>
    </xf>
    <xf numFmtId="0" fontId="8" fillId="0" borderId="0" xfId="0" applyFont="1"/>
    <xf numFmtId="0" fontId="1" fillId="0" borderId="0" xfId="0" quotePrefix="1" applyFont="1" applyAlignment="1" applyProtection="1">
      <alignment horizontal="right"/>
      <protection locked="0"/>
    </xf>
    <xf numFmtId="4" fontId="6" fillId="0" borderId="0" xfId="0" applyNumberFormat="1" applyFont="1" applyProtection="1">
      <protection locked="0"/>
    </xf>
    <xf numFmtId="1" fontId="0" fillId="10" borderId="0" xfId="0" applyNumberFormat="1" applyFill="1"/>
    <xf numFmtId="0" fontId="2" fillId="5" borderId="0" xfId="0" applyFont="1" applyFill="1" applyAlignment="1">
      <alignment horizontal="center"/>
    </xf>
    <xf numFmtId="1" fontId="5" fillId="5" borderId="0" xfId="0" applyNumberFormat="1" applyFont="1" applyFill="1"/>
    <xf numFmtId="0" fontId="2" fillId="5" borderId="0" xfId="0" applyFont="1" applyFill="1"/>
    <xf numFmtId="0" fontId="2" fillId="7" borderId="0" xfId="0" applyFont="1" applyFill="1" applyAlignment="1">
      <alignment horizontal="center"/>
    </xf>
    <xf numFmtId="1" fontId="5" fillId="7" borderId="0" xfId="0" applyNumberFormat="1" applyFont="1" applyFill="1"/>
    <xf numFmtId="1" fontId="5" fillId="11" borderId="0" xfId="0" applyNumberFormat="1" applyFont="1" applyFill="1"/>
    <xf numFmtId="0" fontId="2" fillId="7" borderId="0" xfId="0" applyFont="1" applyFill="1"/>
    <xf numFmtId="1" fontId="0" fillId="12" borderId="0" xfId="0" applyNumberFormat="1" applyFill="1"/>
    <xf numFmtId="0" fontId="0" fillId="13" borderId="1" xfId="0" applyFill="1" applyBorder="1"/>
    <xf numFmtId="0" fontId="0" fillId="13" borderId="1" xfId="0" applyFill="1" applyBorder="1" applyAlignment="1">
      <alignment horizontal="right"/>
    </xf>
    <xf numFmtId="1" fontId="0" fillId="13" borderId="1" xfId="0" applyNumberFormat="1" applyFill="1" applyBorder="1"/>
    <xf numFmtId="3" fontId="6" fillId="0" borderId="0" xfId="0" applyNumberFormat="1" applyFont="1" applyProtection="1">
      <protection locked="0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1" applyNumberFormat="1" applyFont="1"/>
    <xf numFmtId="165" fontId="6" fillId="0" borderId="0" xfId="0" applyNumberFormat="1" applyFont="1"/>
    <xf numFmtId="1" fontId="6" fillId="10" borderId="0" xfId="0" applyNumberFormat="1" applyFont="1" applyFill="1"/>
    <xf numFmtId="1" fontId="0" fillId="10" borderId="0" xfId="0" quotePrefix="1" applyNumberFormat="1" applyFill="1" applyAlignment="1" applyProtection="1">
      <alignment horizontal="right"/>
      <protection locked="0"/>
    </xf>
    <xf numFmtId="1" fontId="0" fillId="12" borderId="0" xfId="0" applyNumberFormat="1" applyFill="1" applyProtection="1">
      <protection locked="0"/>
    </xf>
    <xf numFmtId="1" fontId="3" fillId="10" borderId="0" xfId="0" applyNumberFormat="1" applyFont="1" applyFill="1" applyAlignment="1">
      <alignment horizontal="right"/>
    </xf>
    <xf numFmtId="0" fontId="0" fillId="14" borderId="1" xfId="0" applyFill="1" applyBorder="1"/>
    <xf numFmtId="0" fontId="0" fillId="14" borderId="1" xfId="0" applyFill="1" applyBorder="1" applyAlignment="1">
      <alignment horizontal="right"/>
    </xf>
    <xf numFmtId="0" fontId="10" fillId="0" borderId="0" xfId="0" applyFont="1" applyProtection="1">
      <protection locked="0"/>
    </xf>
    <xf numFmtId="1" fontId="0" fillId="15" borderId="0" xfId="0" applyNumberFormat="1" applyFill="1"/>
    <xf numFmtId="3" fontId="6" fillId="16" borderId="0" xfId="0" applyNumberFormat="1" applyFont="1" applyFill="1" applyAlignment="1">
      <alignment horizontal="right"/>
    </xf>
    <xf numFmtId="0" fontId="3" fillId="16" borderId="0" xfId="0" applyFont="1" applyFill="1" applyAlignment="1">
      <alignment horizontal="right"/>
    </xf>
    <xf numFmtId="1" fontId="0" fillId="12" borderId="0" xfId="0" quotePrefix="1" applyNumberFormat="1" applyFill="1" applyAlignment="1" applyProtection="1">
      <alignment horizontal="right"/>
      <protection locked="0"/>
    </xf>
    <xf numFmtId="0" fontId="8" fillId="0" borderId="0" xfId="0" applyFont="1" applyProtection="1">
      <protection locked="0"/>
    </xf>
    <xf numFmtId="4" fontId="8" fillId="0" borderId="0" xfId="0" applyNumberFormat="1" applyFont="1" applyProtection="1">
      <protection locked="0"/>
    </xf>
    <xf numFmtId="0" fontId="0" fillId="14" borderId="1" xfId="0" applyFill="1" applyBorder="1" applyAlignment="1">
      <alignment horizontal="left"/>
    </xf>
  </cellXfs>
  <cellStyles count="2">
    <cellStyle name="Moeda" xfId="1" builtinId="4"/>
    <cellStyle name="Normal" xfId="0" builtinId="0"/>
  </cellStyles>
  <dxfs count="1"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6"/>
  <sheetViews>
    <sheetView tabSelected="1" zoomScaleNormal="100" workbookViewId="0">
      <pane ySplit="1" topLeftCell="A41" activePane="bottomLeft" state="frozen"/>
      <selection pane="bottomLeft" activeCell="D76" sqref="D76"/>
    </sheetView>
  </sheetViews>
  <sheetFormatPr defaultRowHeight="15" x14ac:dyDescent="0.25"/>
  <cols>
    <col min="1" max="1" width="23.42578125" customWidth="1"/>
    <col min="2" max="2" width="14.5703125" customWidth="1"/>
    <col min="3" max="3" width="12.5703125" customWidth="1"/>
    <col min="4" max="4" width="12.85546875" customWidth="1"/>
    <col min="5" max="5" width="12.5703125" customWidth="1"/>
    <col min="6" max="6" width="12.85546875" customWidth="1"/>
    <col min="7" max="7" width="12.42578125" customWidth="1"/>
    <col min="8" max="10" width="12.5703125" customWidth="1"/>
    <col min="11" max="11" width="12.5703125" style="15" customWidth="1"/>
    <col min="12" max="14" width="12.5703125" customWidth="1"/>
    <col min="15" max="15" width="14.28515625" style="5" customWidth="1"/>
    <col min="16" max="16" width="9.7109375" bestFit="1" customWidth="1"/>
    <col min="17" max="17" width="11.85546875" hidden="1" customWidth="1"/>
    <col min="18" max="27" width="10.7109375" hidden="1" customWidth="1"/>
    <col min="28" max="28" width="4.85546875" hidden="1" customWidth="1"/>
    <col min="29" max="29" width="10.7109375" style="25" customWidth="1"/>
    <col min="30" max="30" width="10.7109375" style="27" customWidth="1"/>
    <col min="32" max="32" width="10.28515625" customWidth="1"/>
    <col min="33" max="34" width="10.42578125" bestFit="1" customWidth="1"/>
    <col min="35" max="35" width="10.85546875" customWidth="1"/>
    <col min="36" max="36" width="10.42578125" style="24" bestFit="1" customWidth="1"/>
    <col min="37" max="37" width="12.140625" style="24" customWidth="1"/>
    <col min="38" max="40" width="10.42578125" bestFit="1" customWidth="1"/>
    <col min="41" max="41" width="10.42578125" customWidth="1"/>
    <col min="42" max="42" width="10.42578125" bestFit="1" customWidth="1"/>
    <col min="43" max="43" width="10.5703125" bestFit="1" customWidth="1"/>
    <col min="44" max="44" width="11.5703125" bestFit="1" customWidth="1"/>
    <col min="274" max="274" width="24.42578125" customWidth="1"/>
    <col min="275" max="275" width="12.5703125" customWidth="1"/>
    <col min="276" max="277" width="9.7109375" bestFit="1" customWidth="1"/>
    <col min="278" max="279" width="9.5703125" bestFit="1" customWidth="1"/>
    <col min="280" max="280" width="11.5703125" bestFit="1" customWidth="1"/>
    <col min="281" max="282" width="9.7109375" bestFit="1" customWidth="1"/>
    <col min="283" max="283" width="9.5703125" bestFit="1" customWidth="1"/>
    <col min="284" max="284" width="9.28515625" customWidth="1"/>
    <col min="285" max="285" width="9.85546875" customWidth="1"/>
    <col min="286" max="286" width="9.7109375" customWidth="1"/>
    <col min="287" max="287" width="10.28515625" bestFit="1" customWidth="1"/>
    <col min="288" max="288" width="9.7109375" bestFit="1" customWidth="1"/>
    <col min="530" max="530" width="24.42578125" customWidth="1"/>
    <col min="531" max="531" width="12.5703125" customWidth="1"/>
    <col min="532" max="533" width="9.7109375" bestFit="1" customWidth="1"/>
    <col min="534" max="535" width="9.5703125" bestFit="1" customWidth="1"/>
    <col min="536" max="536" width="11.5703125" bestFit="1" customWidth="1"/>
    <col min="537" max="538" width="9.7109375" bestFit="1" customWidth="1"/>
    <col min="539" max="539" width="9.5703125" bestFit="1" customWidth="1"/>
    <col min="540" max="540" width="9.28515625" customWidth="1"/>
    <col min="541" max="541" width="9.85546875" customWidth="1"/>
    <col min="542" max="542" width="9.7109375" customWidth="1"/>
    <col min="543" max="543" width="10.28515625" bestFit="1" customWidth="1"/>
    <col min="544" max="544" width="9.7109375" bestFit="1" customWidth="1"/>
    <col min="786" max="786" width="24.42578125" customWidth="1"/>
    <col min="787" max="787" width="12.5703125" customWidth="1"/>
    <col min="788" max="789" width="9.7109375" bestFit="1" customWidth="1"/>
    <col min="790" max="791" width="9.5703125" bestFit="1" customWidth="1"/>
    <col min="792" max="792" width="11.5703125" bestFit="1" customWidth="1"/>
    <col min="793" max="794" width="9.7109375" bestFit="1" customWidth="1"/>
    <col min="795" max="795" width="9.5703125" bestFit="1" customWidth="1"/>
    <col min="796" max="796" width="9.28515625" customWidth="1"/>
    <col min="797" max="797" width="9.85546875" customWidth="1"/>
    <col min="798" max="798" width="9.7109375" customWidth="1"/>
    <col min="799" max="799" width="10.28515625" bestFit="1" customWidth="1"/>
    <col min="800" max="800" width="9.7109375" bestFit="1" customWidth="1"/>
    <col min="1042" max="1042" width="24.42578125" customWidth="1"/>
    <col min="1043" max="1043" width="12.5703125" customWidth="1"/>
    <col min="1044" max="1045" width="9.7109375" bestFit="1" customWidth="1"/>
    <col min="1046" max="1047" width="9.5703125" bestFit="1" customWidth="1"/>
    <col min="1048" max="1048" width="11.5703125" bestFit="1" customWidth="1"/>
    <col min="1049" max="1050" width="9.7109375" bestFit="1" customWidth="1"/>
    <col min="1051" max="1051" width="9.5703125" bestFit="1" customWidth="1"/>
    <col min="1052" max="1052" width="9.28515625" customWidth="1"/>
    <col min="1053" max="1053" width="9.85546875" customWidth="1"/>
    <col min="1054" max="1054" width="9.7109375" customWidth="1"/>
    <col min="1055" max="1055" width="10.28515625" bestFit="1" customWidth="1"/>
    <col min="1056" max="1056" width="9.7109375" bestFit="1" customWidth="1"/>
    <col min="1298" max="1298" width="24.42578125" customWidth="1"/>
    <col min="1299" max="1299" width="12.5703125" customWidth="1"/>
    <col min="1300" max="1301" width="9.7109375" bestFit="1" customWidth="1"/>
    <col min="1302" max="1303" width="9.5703125" bestFit="1" customWidth="1"/>
    <col min="1304" max="1304" width="11.5703125" bestFit="1" customWidth="1"/>
    <col min="1305" max="1306" width="9.7109375" bestFit="1" customWidth="1"/>
    <col min="1307" max="1307" width="9.5703125" bestFit="1" customWidth="1"/>
    <col min="1308" max="1308" width="9.28515625" customWidth="1"/>
    <col min="1309" max="1309" width="9.85546875" customWidth="1"/>
    <col min="1310" max="1310" width="9.7109375" customWidth="1"/>
    <col min="1311" max="1311" width="10.28515625" bestFit="1" customWidth="1"/>
    <col min="1312" max="1312" width="9.7109375" bestFit="1" customWidth="1"/>
    <col min="1554" max="1554" width="24.42578125" customWidth="1"/>
    <col min="1555" max="1555" width="12.5703125" customWidth="1"/>
    <col min="1556" max="1557" width="9.7109375" bestFit="1" customWidth="1"/>
    <col min="1558" max="1559" width="9.5703125" bestFit="1" customWidth="1"/>
    <col min="1560" max="1560" width="11.5703125" bestFit="1" customWidth="1"/>
    <col min="1561" max="1562" width="9.7109375" bestFit="1" customWidth="1"/>
    <col min="1563" max="1563" width="9.5703125" bestFit="1" customWidth="1"/>
    <col min="1564" max="1564" width="9.28515625" customWidth="1"/>
    <col min="1565" max="1565" width="9.85546875" customWidth="1"/>
    <col min="1566" max="1566" width="9.7109375" customWidth="1"/>
    <col min="1567" max="1567" width="10.28515625" bestFit="1" customWidth="1"/>
    <col min="1568" max="1568" width="9.7109375" bestFit="1" customWidth="1"/>
    <col min="1810" max="1810" width="24.42578125" customWidth="1"/>
    <col min="1811" max="1811" width="12.5703125" customWidth="1"/>
    <col min="1812" max="1813" width="9.7109375" bestFit="1" customWidth="1"/>
    <col min="1814" max="1815" width="9.5703125" bestFit="1" customWidth="1"/>
    <col min="1816" max="1816" width="11.5703125" bestFit="1" customWidth="1"/>
    <col min="1817" max="1818" width="9.7109375" bestFit="1" customWidth="1"/>
    <col min="1819" max="1819" width="9.5703125" bestFit="1" customWidth="1"/>
    <col min="1820" max="1820" width="9.28515625" customWidth="1"/>
    <col min="1821" max="1821" width="9.85546875" customWidth="1"/>
    <col min="1822" max="1822" width="9.7109375" customWidth="1"/>
    <col min="1823" max="1823" width="10.28515625" bestFit="1" customWidth="1"/>
    <col min="1824" max="1824" width="9.7109375" bestFit="1" customWidth="1"/>
    <col min="2066" max="2066" width="24.42578125" customWidth="1"/>
    <col min="2067" max="2067" width="12.5703125" customWidth="1"/>
    <col min="2068" max="2069" width="9.7109375" bestFit="1" customWidth="1"/>
    <col min="2070" max="2071" width="9.5703125" bestFit="1" customWidth="1"/>
    <col min="2072" max="2072" width="11.5703125" bestFit="1" customWidth="1"/>
    <col min="2073" max="2074" width="9.7109375" bestFit="1" customWidth="1"/>
    <col min="2075" max="2075" width="9.5703125" bestFit="1" customWidth="1"/>
    <col min="2076" max="2076" width="9.28515625" customWidth="1"/>
    <col min="2077" max="2077" width="9.85546875" customWidth="1"/>
    <col min="2078" max="2078" width="9.7109375" customWidth="1"/>
    <col min="2079" max="2079" width="10.28515625" bestFit="1" customWidth="1"/>
    <col min="2080" max="2080" width="9.7109375" bestFit="1" customWidth="1"/>
    <col min="2322" max="2322" width="24.42578125" customWidth="1"/>
    <col min="2323" max="2323" width="12.5703125" customWidth="1"/>
    <col min="2324" max="2325" width="9.7109375" bestFit="1" customWidth="1"/>
    <col min="2326" max="2327" width="9.5703125" bestFit="1" customWidth="1"/>
    <col min="2328" max="2328" width="11.5703125" bestFit="1" customWidth="1"/>
    <col min="2329" max="2330" width="9.7109375" bestFit="1" customWidth="1"/>
    <col min="2331" max="2331" width="9.5703125" bestFit="1" customWidth="1"/>
    <col min="2332" max="2332" width="9.28515625" customWidth="1"/>
    <col min="2333" max="2333" width="9.85546875" customWidth="1"/>
    <col min="2334" max="2334" width="9.7109375" customWidth="1"/>
    <col min="2335" max="2335" width="10.28515625" bestFit="1" customWidth="1"/>
    <col min="2336" max="2336" width="9.7109375" bestFit="1" customWidth="1"/>
    <col min="2578" max="2578" width="24.42578125" customWidth="1"/>
    <col min="2579" max="2579" width="12.5703125" customWidth="1"/>
    <col min="2580" max="2581" width="9.7109375" bestFit="1" customWidth="1"/>
    <col min="2582" max="2583" width="9.5703125" bestFit="1" customWidth="1"/>
    <col min="2584" max="2584" width="11.5703125" bestFit="1" customWidth="1"/>
    <col min="2585" max="2586" width="9.7109375" bestFit="1" customWidth="1"/>
    <col min="2587" max="2587" width="9.5703125" bestFit="1" customWidth="1"/>
    <col min="2588" max="2588" width="9.28515625" customWidth="1"/>
    <col min="2589" max="2589" width="9.85546875" customWidth="1"/>
    <col min="2590" max="2590" width="9.7109375" customWidth="1"/>
    <col min="2591" max="2591" width="10.28515625" bestFit="1" customWidth="1"/>
    <col min="2592" max="2592" width="9.7109375" bestFit="1" customWidth="1"/>
    <col min="2834" max="2834" width="24.42578125" customWidth="1"/>
    <col min="2835" max="2835" width="12.5703125" customWidth="1"/>
    <col min="2836" max="2837" width="9.7109375" bestFit="1" customWidth="1"/>
    <col min="2838" max="2839" width="9.5703125" bestFit="1" customWidth="1"/>
    <col min="2840" max="2840" width="11.5703125" bestFit="1" customWidth="1"/>
    <col min="2841" max="2842" width="9.7109375" bestFit="1" customWidth="1"/>
    <col min="2843" max="2843" width="9.5703125" bestFit="1" customWidth="1"/>
    <col min="2844" max="2844" width="9.28515625" customWidth="1"/>
    <col min="2845" max="2845" width="9.85546875" customWidth="1"/>
    <col min="2846" max="2846" width="9.7109375" customWidth="1"/>
    <col min="2847" max="2847" width="10.28515625" bestFit="1" customWidth="1"/>
    <col min="2848" max="2848" width="9.7109375" bestFit="1" customWidth="1"/>
    <col min="3090" max="3090" width="24.42578125" customWidth="1"/>
    <col min="3091" max="3091" width="12.5703125" customWidth="1"/>
    <col min="3092" max="3093" width="9.7109375" bestFit="1" customWidth="1"/>
    <col min="3094" max="3095" width="9.5703125" bestFit="1" customWidth="1"/>
    <col min="3096" max="3096" width="11.5703125" bestFit="1" customWidth="1"/>
    <col min="3097" max="3098" width="9.7109375" bestFit="1" customWidth="1"/>
    <col min="3099" max="3099" width="9.5703125" bestFit="1" customWidth="1"/>
    <col min="3100" max="3100" width="9.28515625" customWidth="1"/>
    <col min="3101" max="3101" width="9.85546875" customWidth="1"/>
    <col min="3102" max="3102" width="9.7109375" customWidth="1"/>
    <col min="3103" max="3103" width="10.28515625" bestFit="1" customWidth="1"/>
    <col min="3104" max="3104" width="9.7109375" bestFit="1" customWidth="1"/>
    <col min="3346" max="3346" width="24.42578125" customWidth="1"/>
    <col min="3347" max="3347" width="12.5703125" customWidth="1"/>
    <col min="3348" max="3349" width="9.7109375" bestFit="1" customWidth="1"/>
    <col min="3350" max="3351" width="9.5703125" bestFit="1" customWidth="1"/>
    <col min="3352" max="3352" width="11.5703125" bestFit="1" customWidth="1"/>
    <col min="3353" max="3354" width="9.7109375" bestFit="1" customWidth="1"/>
    <col min="3355" max="3355" width="9.5703125" bestFit="1" customWidth="1"/>
    <col min="3356" max="3356" width="9.28515625" customWidth="1"/>
    <col min="3357" max="3357" width="9.85546875" customWidth="1"/>
    <col min="3358" max="3358" width="9.7109375" customWidth="1"/>
    <col min="3359" max="3359" width="10.28515625" bestFit="1" customWidth="1"/>
    <col min="3360" max="3360" width="9.7109375" bestFit="1" customWidth="1"/>
    <col min="3602" max="3602" width="24.42578125" customWidth="1"/>
    <col min="3603" max="3603" width="12.5703125" customWidth="1"/>
    <col min="3604" max="3605" width="9.7109375" bestFit="1" customWidth="1"/>
    <col min="3606" max="3607" width="9.5703125" bestFit="1" customWidth="1"/>
    <col min="3608" max="3608" width="11.5703125" bestFit="1" customWidth="1"/>
    <col min="3609" max="3610" width="9.7109375" bestFit="1" customWidth="1"/>
    <col min="3611" max="3611" width="9.5703125" bestFit="1" customWidth="1"/>
    <col min="3612" max="3612" width="9.28515625" customWidth="1"/>
    <col min="3613" max="3613" width="9.85546875" customWidth="1"/>
    <col min="3614" max="3614" width="9.7109375" customWidth="1"/>
    <col min="3615" max="3615" width="10.28515625" bestFit="1" customWidth="1"/>
    <col min="3616" max="3616" width="9.7109375" bestFit="1" customWidth="1"/>
    <col min="3858" max="3858" width="24.42578125" customWidth="1"/>
    <col min="3859" max="3859" width="12.5703125" customWidth="1"/>
    <col min="3860" max="3861" width="9.7109375" bestFit="1" customWidth="1"/>
    <col min="3862" max="3863" width="9.5703125" bestFit="1" customWidth="1"/>
    <col min="3864" max="3864" width="11.5703125" bestFit="1" customWidth="1"/>
    <col min="3865" max="3866" width="9.7109375" bestFit="1" customWidth="1"/>
    <col min="3867" max="3867" width="9.5703125" bestFit="1" customWidth="1"/>
    <col min="3868" max="3868" width="9.28515625" customWidth="1"/>
    <col min="3869" max="3869" width="9.85546875" customWidth="1"/>
    <col min="3870" max="3870" width="9.7109375" customWidth="1"/>
    <col min="3871" max="3871" width="10.28515625" bestFit="1" customWidth="1"/>
    <col min="3872" max="3872" width="9.7109375" bestFit="1" customWidth="1"/>
    <col min="4114" max="4114" width="24.42578125" customWidth="1"/>
    <col min="4115" max="4115" width="12.5703125" customWidth="1"/>
    <col min="4116" max="4117" width="9.7109375" bestFit="1" customWidth="1"/>
    <col min="4118" max="4119" width="9.5703125" bestFit="1" customWidth="1"/>
    <col min="4120" max="4120" width="11.5703125" bestFit="1" customWidth="1"/>
    <col min="4121" max="4122" width="9.7109375" bestFit="1" customWidth="1"/>
    <col min="4123" max="4123" width="9.5703125" bestFit="1" customWidth="1"/>
    <col min="4124" max="4124" width="9.28515625" customWidth="1"/>
    <col min="4125" max="4125" width="9.85546875" customWidth="1"/>
    <col min="4126" max="4126" width="9.7109375" customWidth="1"/>
    <col min="4127" max="4127" width="10.28515625" bestFit="1" customWidth="1"/>
    <col min="4128" max="4128" width="9.7109375" bestFit="1" customWidth="1"/>
    <col min="4370" max="4370" width="24.42578125" customWidth="1"/>
    <col min="4371" max="4371" width="12.5703125" customWidth="1"/>
    <col min="4372" max="4373" width="9.7109375" bestFit="1" customWidth="1"/>
    <col min="4374" max="4375" width="9.5703125" bestFit="1" customWidth="1"/>
    <col min="4376" max="4376" width="11.5703125" bestFit="1" customWidth="1"/>
    <col min="4377" max="4378" width="9.7109375" bestFit="1" customWidth="1"/>
    <col min="4379" max="4379" width="9.5703125" bestFit="1" customWidth="1"/>
    <col min="4380" max="4380" width="9.28515625" customWidth="1"/>
    <col min="4381" max="4381" width="9.85546875" customWidth="1"/>
    <col min="4382" max="4382" width="9.7109375" customWidth="1"/>
    <col min="4383" max="4383" width="10.28515625" bestFit="1" customWidth="1"/>
    <col min="4384" max="4384" width="9.7109375" bestFit="1" customWidth="1"/>
    <col min="4626" max="4626" width="24.42578125" customWidth="1"/>
    <col min="4627" max="4627" width="12.5703125" customWidth="1"/>
    <col min="4628" max="4629" width="9.7109375" bestFit="1" customWidth="1"/>
    <col min="4630" max="4631" width="9.5703125" bestFit="1" customWidth="1"/>
    <col min="4632" max="4632" width="11.5703125" bestFit="1" customWidth="1"/>
    <col min="4633" max="4634" width="9.7109375" bestFit="1" customWidth="1"/>
    <col min="4635" max="4635" width="9.5703125" bestFit="1" customWidth="1"/>
    <col min="4636" max="4636" width="9.28515625" customWidth="1"/>
    <col min="4637" max="4637" width="9.85546875" customWidth="1"/>
    <col min="4638" max="4638" width="9.7109375" customWidth="1"/>
    <col min="4639" max="4639" width="10.28515625" bestFit="1" customWidth="1"/>
    <col min="4640" max="4640" width="9.7109375" bestFit="1" customWidth="1"/>
    <col min="4882" max="4882" width="24.42578125" customWidth="1"/>
    <col min="4883" max="4883" width="12.5703125" customWidth="1"/>
    <col min="4884" max="4885" width="9.7109375" bestFit="1" customWidth="1"/>
    <col min="4886" max="4887" width="9.5703125" bestFit="1" customWidth="1"/>
    <col min="4888" max="4888" width="11.5703125" bestFit="1" customWidth="1"/>
    <col min="4889" max="4890" width="9.7109375" bestFit="1" customWidth="1"/>
    <col min="4891" max="4891" width="9.5703125" bestFit="1" customWidth="1"/>
    <col min="4892" max="4892" width="9.28515625" customWidth="1"/>
    <col min="4893" max="4893" width="9.85546875" customWidth="1"/>
    <col min="4894" max="4894" width="9.7109375" customWidth="1"/>
    <col min="4895" max="4895" width="10.28515625" bestFit="1" customWidth="1"/>
    <col min="4896" max="4896" width="9.7109375" bestFit="1" customWidth="1"/>
    <col min="5138" max="5138" width="24.42578125" customWidth="1"/>
    <col min="5139" max="5139" width="12.5703125" customWidth="1"/>
    <col min="5140" max="5141" width="9.7109375" bestFit="1" customWidth="1"/>
    <col min="5142" max="5143" width="9.5703125" bestFit="1" customWidth="1"/>
    <col min="5144" max="5144" width="11.5703125" bestFit="1" customWidth="1"/>
    <col min="5145" max="5146" width="9.7109375" bestFit="1" customWidth="1"/>
    <col min="5147" max="5147" width="9.5703125" bestFit="1" customWidth="1"/>
    <col min="5148" max="5148" width="9.28515625" customWidth="1"/>
    <col min="5149" max="5149" width="9.85546875" customWidth="1"/>
    <col min="5150" max="5150" width="9.7109375" customWidth="1"/>
    <col min="5151" max="5151" width="10.28515625" bestFit="1" customWidth="1"/>
    <col min="5152" max="5152" width="9.7109375" bestFit="1" customWidth="1"/>
    <col min="5394" max="5394" width="24.42578125" customWidth="1"/>
    <col min="5395" max="5395" width="12.5703125" customWidth="1"/>
    <col min="5396" max="5397" width="9.7109375" bestFit="1" customWidth="1"/>
    <col min="5398" max="5399" width="9.5703125" bestFit="1" customWidth="1"/>
    <col min="5400" max="5400" width="11.5703125" bestFit="1" customWidth="1"/>
    <col min="5401" max="5402" width="9.7109375" bestFit="1" customWidth="1"/>
    <col min="5403" max="5403" width="9.5703125" bestFit="1" customWidth="1"/>
    <col min="5404" max="5404" width="9.28515625" customWidth="1"/>
    <col min="5405" max="5405" width="9.85546875" customWidth="1"/>
    <col min="5406" max="5406" width="9.7109375" customWidth="1"/>
    <col min="5407" max="5407" width="10.28515625" bestFit="1" customWidth="1"/>
    <col min="5408" max="5408" width="9.7109375" bestFit="1" customWidth="1"/>
    <col min="5650" max="5650" width="24.42578125" customWidth="1"/>
    <col min="5651" max="5651" width="12.5703125" customWidth="1"/>
    <col min="5652" max="5653" width="9.7109375" bestFit="1" customWidth="1"/>
    <col min="5654" max="5655" width="9.5703125" bestFit="1" customWidth="1"/>
    <col min="5656" max="5656" width="11.5703125" bestFit="1" customWidth="1"/>
    <col min="5657" max="5658" width="9.7109375" bestFit="1" customWidth="1"/>
    <col min="5659" max="5659" width="9.5703125" bestFit="1" customWidth="1"/>
    <col min="5660" max="5660" width="9.28515625" customWidth="1"/>
    <col min="5661" max="5661" width="9.85546875" customWidth="1"/>
    <col min="5662" max="5662" width="9.7109375" customWidth="1"/>
    <col min="5663" max="5663" width="10.28515625" bestFit="1" customWidth="1"/>
    <col min="5664" max="5664" width="9.7109375" bestFit="1" customWidth="1"/>
    <col min="5906" max="5906" width="24.42578125" customWidth="1"/>
    <col min="5907" max="5907" width="12.5703125" customWidth="1"/>
    <col min="5908" max="5909" width="9.7109375" bestFit="1" customWidth="1"/>
    <col min="5910" max="5911" width="9.5703125" bestFit="1" customWidth="1"/>
    <col min="5912" max="5912" width="11.5703125" bestFit="1" customWidth="1"/>
    <col min="5913" max="5914" width="9.7109375" bestFit="1" customWidth="1"/>
    <col min="5915" max="5915" width="9.5703125" bestFit="1" customWidth="1"/>
    <col min="5916" max="5916" width="9.28515625" customWidth="1"/>
    <col min="5917" max="5917" width="9.85546875" customWidth="1"/>
    <col min="5918" max="5918" width="9.7109375" customWidth="1"/>
    <col min="5919" max="5919" width="10.28515625" bestFit="1" customWidth="1"/>
    <col min="5920" max="5920" width="9.7109375" bestFit="1" customWidth="1"/>
    <col min="6162" max="6162" width="24.42578125" customWidth="1"/>
    <col min="6163" max="6163" width="12.5703125" customWidth="1"/>
    <col min="6164" max="6165" width="9.7109375" bestFit="1" customWidth="1"/>
    <col min="6166" max="6167" width="9.5703125" bestFit="1" customWidth="1"/>
    <col min="6168" max="6168" width="11.5703125" bestFit="1" customWidth="1"/>
    <col min="6169" max="6170" width="9.7109375" bestFit="1" customWidth="1"/>
    <col min="6171" max="6171" width="9.5703125" bestFit="1" customWidth="1"/>
    <col min="6172" max="6172" width="9.28515625" customWidth="1"/>
    <col min="6173" max="6173" width="9.85546875" customWidth="1"/>
    <col min="6174" max="6174" width="9.7109375" customWidth="1"/>
    <col min="6175" max="6175" width="10.28515625" bestFit="1" customWidth="1"/>
    <col min="6176" max="6176" width="9.7109375" bestFit="1" customWidth="1"/>
    <col min="6418" max="6418" width="24.42578125" customWidth="1"/>
    <col min="6419" max="6419" width="12.5703125" customWidth="1"/>
    <col min="6420" max="6421" width="9.7109375" bestFit="1" customWidth="1"/>
    <col min="6422" max="6423" width="9.5703125" bestFit="1" customWidth="1"/>
    <col min="6424" max="6424" width="11.5703125" bestFit="1" customWidth="1"/>
    <col min="6425" max="6426" width="9.7109375" bestFit="1" customWidth="1"/>
    <col min="6427" max="6427" width="9.5703125" bestFit="1" customWidth="1"/>
    <col min="6428" max="6428" width="9.28515625" customWidth="1"/>
    <col min="6429" max="6429" width="9.85546875" customWidth="1"/>
    <col min="6430" max="6430" width="9.7109375" customWidth="1"/>
    <col min="6431" max="6431" width="10.28515625" bestFit="1" customWidth="1"/>
    <col min="6432" max="6432" width="9.7109375" bestFit="1" customWidth="1"/>
    <col min="6674" max="6674" width="24.42578125" customWidth="1"/>
    <col min="6675" max="6675" width="12.5703125" customWidth="1"/>
    <col min="6676" max="6677" width="9.7109375" bestFit="1" customWidth="1"/>
    <col min="6678" max="6679" width="9.5703125" bestFit="1" customWidth="1"/>
    <col min="6680" max="6680" width="11.5703125" bestFit="1" customWidth="1"/>
    <col min="6681" max="6682" width="9.7109375" bestFit="1" customWidth="1"/>
    <col min="6683" max="6683" width="9.5703125" bestFit="1" customWidth="1"/>
    <col min="6684" max="6684" width="9.28515625" customWidth="1"/>
    <col min="6685" max="6685" width="9.85546875" customWidth="1"/>
    <col min="6686" max="6686" width="9.7109375" customWidth="1"/>
    <col min="6687" max="6687" width="10.28515625" bestFit="1" customWidth="1"/>
    <col min="6688" max="6688" width="9.7109375" bestFit="1" customWidth="1"/>
    <col min="6930" max="6930" width="24.42578125" customWidth="1"/>
    <col min="6931" max="6931" width="12.5703125" customWidth="1"/>
    <col min="6932" max="6933" width="9.7109375" bestFit="1" customWidth="1"/>
    <col min="6934" max="6935" width="9.5703125" bestFit="1" customWidth="1"/>
    <col min="6936" max="6936" width="11.5703125" bestFit="1" customWidth="1"/>
    <col min="6937" max="6938" width="9.7109375" bestFit="1" customWidth="1"/>
    <col min="6939" max="6939" width="9.5703125" bestFit="1" customWidth="1"/>
    <col min="6940" max="6940" width="9.28515625" customWidth="1"/>
    <col min="6941" max="6941" width="9.85546875" customWidth="1"/>
    <col min="6942" max="6942" width="9.7109375" customWidth="1"/>
    <col min="6943" max="6943" width="10.28515625" bestFit="1" customWidth="1"/>
    <col min="6944" max="6944" width="9.7109375" bestFit="1" customWidth="1"/>
    <col min="7186" max="7186" width="24.42578125" customWidth="1"/>
    <col min="7187" max="7187" width="12.5703125" customWidth="1"/>
    <col min="7188" max="7189" width="9.7109375" bestFit="1" customWidth="1"/>
    <col min="7190" max="7191" width="9.5703125" bestFit="1" customWidth="1"/>
    <col min="7192" max="7192" width="11.5703125" bestFit="1" customWidth="1"/>
    <col min="7193" max="7194" width="9.7109375" bestFit="1" customWidth="1"/>
    <col min="7195" max="7195" width="9.5703125" bestFit="1" customWidth="1"/>
    <col min="7196" max="7196" width="9.28515625" customWidth="1"/>
    <col min="7197" max="7197" width="9.85546875" customWidth="1"/>
    <col min="7198" max="7198" width="9.7109375" customWidth="1"/>
    <col min="7199" max="7199" width="10.28515625" bestFit="1" customWidth="1"/>
    <col min="7200" max="7200" width="9.7109375" bestFit="1" customWidth="1"/>
    <col min="7442" max="7442" width="24.42578125" customWidth="1"/>
    <col min="7443" max="7443" width="12.5703125" customWidth="1"/>
    <col min="7444" max="7445" width="9.7109375" bestFit="1" customWidth="1"/>
    <col min="7446" max="7447" width="9.5703125" bestFit="1" customWidth="1"/>
    <col min="7448" max="7448" width="11.5703125" bestFit="1" customWidth="1"/>
    <col min="7449" max="7450" width="9.7109375" bestFit="1" customWidth="1"/>
    <col min="7451" max="7451" width="9.5703125" bestFit="1" customWidth="1"/>
    <col min="7452" max="7452" width="9.28515625" customWidth="1"/>
    <col min="7453" max="7453" width="9.85546875" customWidth="1"/>
    <col min="7454" max="7454" width="9.7109375" customWidth="1"/>
    <col min="7455" max="7455" width="10.28515625" bestFit="1" customWidth="1"/>
    <col min="7456" max="7456" width="9.7109375" bestFit="1" customWidth="1"/>
    <col min="7698" max="7698" width="24.42578125" customWidth="1"/>
    <col min="7699" max="7699" width="12.5703125" customWidth="1"/>
    <col min="7700" max="7701" width="9.7109375" bestFit="1" customWidth="1"/>
    <col min="7702" max="7703" width="9.5703125" bestFit="1" customWidth="1"/>
    <col min="7704" max="7704" width="11.5703125" bestFit="1" customWidth="1"/>
    <col min="7705" max="7706" width="9.7109375" bestFit="1" customWidth="1"/>
    <col min="7707" max="7707" width="9.5703125" bestFit="1" customWidth="1"/>
    <col min="7708" max="7708" width="9.28515625" customWidth="1"/>
    <col min="7709" max="7709" width="9.85546875" customWidth="1"/>
    <col min="7710" max="7710" width="9.7109375" customWidth="1"/>
    <col min="7711" max="7711" width="10.28515625" bestFit="1" customWidth="1"/>
    <col min="7712" max="7712" width="9.7109375" bestFit="1" customWidth="1"/>
    <col min="7954" max="7954" width="24.42578125" customWidth="1"/>
    <col min="7955" max="7955" width="12.5703125" customWidth="1"/>
    <col min="7956" max="7957" width="9.7109375" bestFit="1" customWidth="1"/>
    <col min="7958" max="7959" width="9.5703125" bestFit="1" customWidth="1"/>
    <col min="7960" max="7960" width="11.5703125" bestFit="1" customWidth="1"/>
    <col min="7961" max="7962" width="9.7109375" bestFit="1" customWidth="1"/>
    <col min="7963" max="7963" width="9.5703125" bestFit="1" customWidth="1"/>
    <col min="7964" max="7964" width="9.28515625" customWidth="1"/>
    <col min="7965" max="7965" width="9.85546875" customWidth="1"/>
    <col min="7966" max="7966" width="9.7109375" customWidth="1"/>
    <col min="7967" max="7967" width="10.28515625" bestFit="1" customWidth="1"/>
    <col min="7968" max="7968" width="9.7109375" bestFit="1" customWidth="1"/>
    <col min="8210" max="8210" width="24.42578125" customWidth="1"/>
    <col min="8211" max="8211" width="12.5703125" customWidth="1"/>
    <col min="8212" max="8213" width="9.7109375" bestFit="1" customWidth="1"/>
    <col min="8214" max="8215" width="9.5703125" bestFit="1" customWidth="1"/>
    <col min="8216" max="8216" width="11.5703125" bestFit="1" customWidth="1"/>
    <col min="8217" max="8218" width="9.7109375" bestFit="1" customWidth="1"/>
    <col min="8219" max="8219" width="9.5703125" bestFit="1" customWidth="1"/>
    <col min="8220" max="8220" width="9.28515625" customWidth="1"/>
    <col min="8221" max="8221" width="9.85546875" customWidth="1"/>
    <col min="8222" max="8222" width="9.7109375" customWidth="1"/>
    <col min="8223" max="8223" width="10.28515625" bestFit="1" customWidth="1"/>
    <col min="8224" max="8224" width="9.7109375" bestFit="1" customWidth="1"/>
    <col min="8466" max="8466" width="24.42578125" customWidth="1"/>
    <col min="8467" max="8467" width="12.5703125" customWidth="1"/>
    <col min="8468" max="8469" width="9.7109375" bestFit="1" customWidth="1"/>
    <col min="8470" max="8471" width="9.5703125" bestFit="1" customWidth="1"/>
    <col min="8472" max="8472" width="11.5703125" bestFit="1" customWidth="1"/>
    <col min="8473" max="8474" width="9.7109375" bestFit="1" customWidth="1"/>
    <col min="8475" max="8475" width="9.5703125" bestFit="1" customWidth="1"/>
    <col min="8476" max="8476" width="9.28515625" customWidth="1"/>
    <col min="8477" max="8477" width="9.85546875" customWidth="1"/>
    <col min="8478" max="8478" width="9.7109375" customWidth="1"/>
    <col min="8479" max="8479" width="10.28515625" bestFit="1" customWidth="1"/>
    <col min="8480" max="8480" width="9.7109375" bestFit="1" customWidth="1"/>
    <col min="8722" max="8722" width="24.42578125" customWidth="1"/>
    <col min="8723" max="8723" width="12.5703125" customWidth="1"/>
    <col min="8724" max="8725" width="9.7109375" bestFit="1" customWidth="1"/>
    <col min="8726" max="8727" width="9.5703125" bestFit="1" customWidth="1"/>
    <col min="8728" max="8728" width="11.5703125" bestFit="1" customWidth="1"/>
    <col min="8729" max="8730" width="9.7109375" bestFit="1" customWidth="1"/>
    <col min="8731" max="8731" width="9.5703125" bestFit="1" customWidth="1"/>
    <col min="8732" max="8732" width="9.28515625" customWidth="1"/>
    <col min="8733" max="8733" width="9.85546875" customWidth="1"/>
    <col min="8734" max="8734" width="9.7109375" customWidth="1"/>
    <col min="8735" max="8735" width="10.28515625" bestFit="1" customWidth="1"/>
    <col min="8736" max="8736" width="9.7109375" bestFit="1" customWidth="1"/>
    <col min="8978" max="8978" width="24.42578125" customWidth="1"/>
    <col min="8979" max="8979" width="12.5703125" customWidth="1"/>
    <col min="8980" max="8981" width="9.7109375" bestFit="1" customWidth="1"/>
    <col min="8982" max="8983" width="9.5703125" bestFit="1" customWidth="1"/>
    <col min="8984" max="8984" width="11.5703125" bestFit="1" customWidth="1"/>
    <col min="8985" max="8986" width="9.7109375" bestFit="1" customWidth="1"/>
    <col min="8987" max="8987" width="9.5703125" bestFit="1" customWidth="1"/>
    <col min="8988" max="8988" width="9.28515625" customWidth="1"/>
    <col min="8989" max="8989" width="9.85546875" customWidth="1"/>
    <col min="8990" max="8990" width="9.7109375" customWidth="1"/>
    <col min="8991" max="8991" width="10.28515625" bestFit="1" customWidth="1"/>
    <col min="8992" max="8992" width="9.7109375" bestFit="1" customWidth="1"/>
    <col min="9234" max="9234" width="24.42578125" customWidth="1"/>
    <col min="9235" max="9235" width="12.5703125" customWidth="1"/>
    <col min="9236" max="9237" width="9.7109375" bestFit="1" customWidth="1"/>
    <col min="9238" max="9239" width="9.5703125" bestFit="1" customWidth="1"/>
    <col min="9240" max="9240" width="11.5703125" bestFit="1" customWidth="1"/>
    <col min="9241" max="9242" width="9.7109375" bestFit="1" customWidth="1"/>
    <col min="9243" max="9243" width="9.5703125" bestFit="1" customWidth="1"/>
    <col min="9244" max="9244" width="9.28515625" customWidth="1"/>
    <col min="9245" max="9245" width="9.85546875" customWidth="1"/>
    <col min="9246" max="9246" width="9.7109375" customWidth="1"/>
    <col min="9247" max="9247" width="10.28515625" bestFit="1" customWidth="1"/>
    <col min="9248" max="9248" width="9.7109375" bestFit="1" customWidth="1"/>
    <col min="9490" max="9490" width="24.42578125" customWidth="1"/>
    <col min="9491" max="9491" width="12.5703125" customWidth="1"/>
    <col min="9492" max="9493" width="9.7109375" bestFit="1" customWidth="1"/>
    <col min="9494" max="9495" width="9.5703125" bestFit="1" customWidth="1"/>
    <col min="9496" max="9496" width="11.5703125" bestFit="1" customWidth="1"/>
    <col min="9497" max="9498" width="9.7109375" bestFit="1" customWidth="1"/>
    <col min="9499" max="9499" width="9.5703125" bestFit="1" customWidth="1"/>
    <col min="9500" max="9500" width="9.28515625" customWidth="1"/>
    <col min="9501" max="9501" width="9.85546875" customWidth="1"/>
    <col min="9502" max="9502" width="9.7109375" customWidth="1"/>
    <col min="9503" max="9503" width="10.28515625" bestFit="1" customWidth="1"/>
    <col min="9504" max="9504" width="9.7109375" bestFit="1" customWidth="1"/>
    <col min="9746" max="9746" width="24.42578125" customWidth="1"/>
    <col min="9747" max="9747" width="12.5703125" customWidth="1"/>
    <col min="9748" max="9749" width="9.7109375" bestFit="1" customWidth="1"/>
    <col min="9750" max="9751" width="9.5703125" bestFit="1" customWidth="1"/>
    <col min="9752" max="9752" width="11.5703125" bestFit="1" customWidth="1"/>
    <col min="9753" max="9754" width="9.7109375" bestFit="1" customWidth="1"/>
    <col min="9755" max="9755" width="9.5703125" bestFit="1" customWidth="1"/>
    <col min="9756" max="9756" width="9.28515625" customWidth="1"/>
    <col min="9757" max="9757" width="9.85546875" customWidth="1"/>
    <col min="9758" max="9758" width="9.7109375" customWidth="1"/>
    <col min="9759" max="9759" width="10.28515625" bestFit="1" customWidth="1"/>
    <col min="9760" max="9760" width="9.7109375" bestFit="1" customWidth="1"/>
    <col min="10002" max="10002" width="24.42578125" customWidth="1"/>
    <col min="10003" max="10003" width="12.5703125" customWidth="1"/>
    <col min="10004" max="10005" width="9.7109375" bestFit="1" customWidth="1"/>
    <col min="10006" max="10007" width="9.5703125" bestFit="1" customWidth="1"/>
    <col min="10008" max="10008" width="11.5703125" bestFit="1" customWidth="1"/>
    <col min="10009" max="10010" width="9.7109375" bestFit="1" customWidth="1"/>
    <col min="10011" max="10011" width="9.5703125" bestFit="1" customWidth="1"/>
    <col min="10012" max="10012" width="9.28515625" customWidth="1"/>
    <col min="10013" max="10013" width="9.85546875" customWidth="1"/>
    <col min="10014" max="10014" width="9.7109375" customWidth="1"/>
    <col min="10015" max="10015" width="10.28515625" bestFit="1" customWidth="1"/>
    <col min="10016" max="10016" width="9.7109375" bestFit="1" customWidth="1"/>
    <col min="10258" max="10258" width="24.42578125" customWidth="1"/>
    <col min="10259" max="10259" width="12.5703125" customWidth="1"/>
    <col min="10260" max="10261" width="9.7109375" bestFit="1" customWidth="1"/>
    <col min="10262" max="10263" width="9.5703125" bestFit="1" customWidth="1"/>
    <col min="10264" max="10264" width="11.5703125" bestFit="1" customWidth="1"/>
    <col min="10265" max="10266" width="9.7109375" bestFit="1" customWidth="1"/>
    <col min="10267" max="10267" width="9.5703125" bestFit="1" customWidth="1"/>
    <col min="10268" max="10268" width="9.28515625" customWidth="1"/>
    <col min="10269" max="10269" width="9.85546875" customWidth="1"/>
    <col min="10270" max="10270" width="9.7109375" customWidth="1"/>
    <col min="10271" max="10271" width="10.28515625" bestFit="1" customWidth="1"/>
    <col min="10272" max="10272" width="9.7109375" bestFit="1" customWidth="1"/>
    <col min="10514" max="10514" width="24.42578125" customWidth="1"/>
    <col min="10515" max="10515" width="12.5703125" customWidth="1"/>
    <col min="10516" max="10517" width="9.7109375" bestFit="1" customWidth="1"/>
    <col min="10518" max="10519" width="9.5703125" bestFit="1" customWidth="1"/>
    <col min="10520" max="10520" width="11.5703125" bestFit="1" customWidth="1"/>
    <col min="10521" max="10522" width="9.7109375" bestFit="1" customWidth="1"/>
    <col min="10523" max="10523" width="9.5703125" bestFit="1" customWidth="1"/>
    <col min="10524" max="10524" width="9.28515625" customWidth="1"/>
    <col min="10525" max="10525" width="9.85546875" customWidth="1"/>
    <col min="10526" max="10526" width="9.7109375" customWidth="1"/>
    <col min="10527" max="10527" width="10.28515625" bestFit="1" customWidth="1"/>
    <col min="10528" max="10528" width="9.7109375" bestFit="1" customWidth="1"/>
    <col min="10770" max="10770" width="24.42578125" customWidth="1"/>
    <col min="10771" max="10771" width="12.5703125" customWidth="1"/>
    <col min="10772" max="10773" width="9.7109375" bestFit="1" customWidth="1"/>
    <col min="10774" max="10775" width="9.5703125" bestFit="1" customWidth="1"/>
    <col min="10776" max="10776" width="11.5703125" bestFit="1" customWidth="1"/>
    <col min="10777" max="10778" width="9.7109375" bestFit="1" customWidth="1"/>
    <col min="10779" max="10779" width="9.5703125" bestFit="1" customWidth="1"/>
    <col min="10780" max="10780" width="9.28515625" customWidth="1"/>
    <col min="10781" max="10781" width="9.85546875" customWidth="1"/>
    <col min="10782" max="10782" width="9.7109375" customWidth="1"/>
    <col min="10783" max="10783" width="10.28515625" bestFit="1" customWidth="1"/>
    <col min="10784" max="10784" width="9.7109375" bestFit="1" customWidth="1"/>
    <col min="11026" max="11026" width="24.42578125" customWidth="1"/>
    <col min="11027" max="11027" width="12.5703125" customWidth="1"/>
    <col min="11028" max="11029" width="9.7109375" bestFit="1" customWidth="1"/>
    <col min="11030" max="11031" width="9.5703125" bestFit="1" customWidth="1"/>
    <col min="11032" max="11032" width="11.5703125" bestFit="1" customWidth="1"/>
    <col min="11033" max="11034" width="9.7109375" bestFit="1" customWidth="1"/>
    <col min="11035" max="11035" width="9.5703125" bestFit="1" customWidth="1"/>
    <col min="11036" max="11036" width="9.28515625" customWidth="1"/>
    <col min="11037" max="11037" width="9.85546875" customWidth="1"/>
    <col min="11038" max="11038" width="9.7109375" customWidth="1"/>
    <col min="11039" max="11039" width="10.28515625" bestFit="1" customWidth="1"/>
    <col min="11040" max="11040" width="9.7109375" bestFit="1" customWidth="1"/>
    <col min="11282" max="11282" width="24.42578125" customWidth="1"/>
    <col min="11283" max="11283" width="12.5703125" customWidth="1"/>
    <col min="11284" max="11285" width="9.7109375" bestFit="1" customWidth="1"/>
    <col min="11286" max="11287" width="9.5703125" bestFit="1" customWidth="1"/>
    <col min="11288" max="11288" width="11.5703125" bestFit="1" customWidth="1"/>
    <col min="11289" max="11290" width="9.7109375" bestFit="1" customWidth="1"/>
    <col min="11291" max="11291" width="9.5703125" bestFit="1" customWidth="1"/>
    <col min="11292" max="11292" width="9.28515625" customWidth="1"/>
    <col min="11293" max="11293" width="9.85546875" customWidth="1"/>
    <col min="11294" max="11294" width="9.7109375" customWidth="1"/>
    <col min="11295" max="11295" width="10.28515625" bestFit="1" customWidth="1"/>
    <col min="11296" max="11296" width="9.7109375" bestFit="1" customWidth="1"/>
    <col min="11538" max="11538" width="24.42578125" customWidth="1"/>
    <col min="11539" max="11539" width="12.5703125" customWidth="1"/>
    <col min="11540" max="11541" width="9.7109375" bestFit="1" customWidth="1"/>
    <col min="11542" max="11543" width="9.5703125" bestFit="1" customWidth="1"/>
    <col min="11544" max="11544" width="11.5703125" bestFit="1" customWidth="1"/>
    <col min="11545" max="11546" width="9.7109375" bestFit="1" customWidth="1"/>
    <col min="11547" max="11547" width="9.5703125" bestFit="1" customWidth="1"/>
    <col min="11548" max="11548" width="9.28515625" customWidth="1"/>
    <col min="11549" max="11549" width="9.85546875" customWidth="1"/>
    <col min="11550" max="11550" width="9.7109375" customWidth="1"/>
    <col min="11551" max="11551" width="10.28515625" bestFit="1" customWidth="1"/>
    <col min="11552" max="11552" width="9.7109375" bestFit="1" customWidth="1"/>
    <col min="11794" max="11794" width="24.42578125" customWidth="1"/>
    <col min="11795" max="11795" width="12.5703125" customWidth="1"/>
    <col min="11796" max="11797" width="9.7109375" bestFit="1" customWidth="1"/>
    <col min="11798" max="11799" width="9.5703125" bestFit="1" customWidth="1"/>
    <col min="11800" max="11800" width="11.5703125" bestFit="1" customWidth="1"/>
    <col min="11801" max="11802" width="9.7109375" bestFit="1" customWidth="1"/>
    <col min="11803" max="11803" width="9.5703125" bestFit="1" customWidth="1"/>
    <col min="11804" max="11804" width="9.28515625" customWidth="1"/>
    <col min="11805" max="11805" width="9.85546875" customWidth="1"/>
    <col min="11806" max="11806" width="9.7109375" customWidth="1"/>
    <col min="11807" max="11807" width="10.28515625" bestFit="1" customWidth="1"/>
    <col min="11808" max="11808" width="9.7109375" bestFit="1" customWidth="1"/>
    <col min="12050" max="12050" width="24.42578125" customWidth="1"/>
    <col min="12051" max="12051" width="12.5703125" customWidth="1"/>
    <col min="12052" max="12053" width="9.7109375" bestFit="1" customWidth="1"/>
    <col min="12054" max="12055" width="9.5703125" bestFit="1" customWidth="1"/>
    <col min="12056" max="12056" width="11.5703125" bestFit="1" customWidth="1"/>
    <col min="12057" max="12058" width="9.7109375" bestFit="1" customWidth="1"/>
    <col min="12059" max="12059" width="9.5703125" bestFit="1" customWidth="1"/>
    <col min="12060" max="12060" width="9.28515625" customWidth="1"/>
    <col min="12061" max="12061" width="9.85546875" customWidth="1"/>
    <col min="12062" max="12062" width="9.7109375" customWidth="1"/>
    <col min="12063" max="12063" width="10.28515625" bestFit="1" customWidth="1"/>
    <col min="12064" max="12064" width="9.7109375" bestFit="1" customWidth="1"/>
    <col min="12306" max="12306" width="24.42578125" customWidth="1"/>
    <col min="12307" max="12307" width="12.5703125" customWidth="1"/>
    <col min="12308" max="12309" width="9.7109375" bestFit="1" customWidth="1"/>
    <col min="12310" max="12311" width="9.5703125" bestFit="1" customWidth="1"/>
    <col min="12312" max="12312" width="11.5703125" bestFit="1" customWidth="1"/>
    <col min="12313" max="12314" width="9.7109375" bestFit="1" customWidth="1"/>
    <col min="12315" max="12315" width="9.5703125" bestFit="1" customWidth="1"/>
    <col min="12316" max="12316" width="9.28515625" customWidth="1"/>
    <col min="12317" max="12317" width="9.85546875" customWidth="1"/>
    <col min="12318" max="12318" width="9.7109375" customWidth="1"/>
    <col min="12319" max="12319" width="10.28515625" bestFit="1" customWidth="1"/>
    <col min="12320" max="12320" width="9.7109375" bestFit="1" customWidth="1"/>
    <col min="12562" max="12562" width="24.42578125" customWidth="1"/>
    <col min="12563" max="12563" width="12.5703125" customWidth="1"/>
    <col min="12564" max="12565" width="9.7109375" bestFit="1" customWidth="1"/>
    <col min="12566" max="12567" width="9.5703125" bestFit="1" customWidth="1"/>
    <col min="12568" max="12568" width="11.5703125" bestFit="1" customWidth="1"/>
    <col min="12569" max="12570" width="9.7109375" bestFit="1" customWidth="1"/>
    <col min="12571" max="12571" width="9.5703125" bestFit="1" customWidth="1"/>
    <col min="12572" max="12572" width="9.28515625" customWidth="1"/>
    <col min="12573" max="12573" width="9.85546875" customWidth="1"/>
    <col min="12574" max="12574" width="9.7109375" customWidth="1"/>
    <col min="12575" max="12575" width="10.28515625" bestFit="1" customWidth="1"/>
    <col min="12576" max="12576" width="9.7109375" bestFit="1" customWidth="1"/>
    <col min="12818" max="12818" width="24.42578125" customWidth="1"/>
    <col min="12819" max="12819" width="12.5703125" customWidth="1"/>
    <col min="12820" max="12821" width="9.7109375" bestFit="1" customWidth="1"/>
    <col min="12822" max="12823" width="9.5703125" bestFit="1" customWidth="1"/>
    <col min="12824" max="12824" width="11.5703125" bestFit="1" customWidth="1"/>
    <col min="12825" max="12826" width="9.7109375" bestFit="1" customWidth="1"/>
    <col min="12827" max="12827" width="9.5703125" bestFit="1" customWidth="1"/>
    <col min="12828" max="12828" width="9.28515625" customWidth="1"/>
    <col min="12829" max="12829" width="9.85546875" customWidth="1"/>
    <col min="12830" max="12830" width="9.7109375" customWidth="1"/>
    <col min="12831" max="12831" width="10.28515625" bestFit="1" customWidth="1"/>
    <col min="12832" max="12832" width="9.7109375" bestFit="1" customWidth="1"/>
    <col min="13074" max="13074" width="24.42578125" customWidth="1"/>
    <col min="13075" max="13075" width="12.5703125" customWidth="1"/>
    <col min="13076" max="13077" width="9.7109375" bestFit="1" customWidth="1"/>
    <col min="13078" max="13079" width="9.5703125" bestFit="1" customWidth="1"/>
    <col min="13080" max="13080" width="11.5703125" bestFit="1" customWidth="1"/>
    <col min="13081" max="13082" width="9.7109375" bestFit="1" customWidth="1"/>
    <col min="13083" max="13083" width="9.5703125" bestFit="1" customWidth="1"/>
    <col min="13084" max="13084" width="9.28515625" customWidth="1"/>
    <col min="13085" max="13085" width="9.85546875" customWidth="1"/>
    <col min="13086" max="13086" width="9.7109375" customWidth="1"/>
    <col min="13087" max="13087" width="10.28515625" bestFit="1" customWidth="1"/>
    <col min="13088" max="13088" width="9.7109375" bestFit="1" customWidth="1"/>
    <col min="13330" max="13330" width="24.42578125" customWidth="1"/>
    <col min="13331" max="13331" width="12.5703125" customWidth="1"/>
    <col min="13332" max="13333" width="9.7109375" bestFit="1" customWidth="1"/>
    <col min="13334" max="13335" width="9.5703125" bestFit="1" customWidth="1"/>
    <col min="13336" max="13336" width="11.5703125" bestFit="1" customWidth="1"/>
    <col min="13337" max="13338" width="9.7109375" bestFit="1" customWidth="1"/>
    <col min="13339" max="13339" width="9.5703125" bestFit="1" customWidth="1"/>
    <col min="13340" max="13340" width="9.28515625" customWidth="1"/>
    <col min="13341" max="13341" width="9.85546875" customWidth="1"/>
    <col min="13342" max="13342" width="9.7109375" customWidth="1"/>
    <col min="13343" max="13343" width="10.28515625" bestFit="1" customWidth="1"/>
    <col min="13344" max="13344" width="9.7109375" bestFit="1" customWidth="1"/>
    <col min="13586" max="13586" width="24.42578125" customWidth="1"/>
    <col min="13587" max="13587" width="12.5703125" customWidth="1"/>
    <col min="13588" max="13589" width="9.7109375" bestFit="1" customWidth="1"/>
    <col min="13590" max="13591" width="9.5703125" bestFit="1" customWidth="1"/>
    <col min="13592" max="13592" width="11.5703125" bestFit="1" customWidth="1"/>
    <col min="13593" max="13594" width="9.7109375" bestFit="1" customWidth="1"/>
    <col min="13595" max="13595" width="9.5703125" bestFit="1" customWidth="1"/>
    <col min="13596" max="13596" width="9.28515625" customWidth="1"/>
    <col min="13597" max="13597" width="9.85546875" customWidth="1"/>
    <col min="13598" max="13598" width="9.7109375" customWidth="1"/>
    <col min="13599" max="13599" width="10.28515625" bestFit="1" customWidth="1"/>
    <col min="13600" max="13600" width="9.7109375" bestFit="1" customWidth="1"/>
    <col min="13842" max="13842" width="24.42578125" customWidth="1"/>
    <col min="13843" max="13843" width="12.5703125" customWidth="1"/>
    <col min="13844" max="13845" width="9.7109375" bestFit="1" customWidth="1"/>
    <col min="13846" max="13847" width="9.5703125" bestFit="1" customWidth="1"/>
    <col min="13848" max="13848" width="11.5703125" bestFit="1" customWidth="1"/>
    <col min="13849" max="13850" width="9.7109375" bestFit="1" customWidth="1"/>
    <col min="13851" max="13851" width="9.5703125" bestFit="1" customWidth="1"/>
    <col min="13852" max="13852" width="9.28515625" customWidth="1"/>
    <col min="13853" max="13853" width="9.85546875" customWidth="1"/>
    <col min="13854" max="13854" width="9.7109375" customWidth="1"/>
    <col min="13855" max="13855" width="10.28515625" bestFit="1" customWidth="1"/>
    <col min="13856" max="13856" width="9.7109375" bestFit="1" customWidth="1"/>
    <col min="14098" max="14098" width="24.42578125" customWidth="1"/>
    <col min="14099" max="14099" width="12.5703125" customWidth="1"/>
    <col min="14100" max="14101" width="9.7109375" bestFit="1" customWidth="1"/>
    <col min="14102" max="14103" width="9.5703125" bestFit="1" customWidth="1"/>
    <col min="14104" max="14104" width="11.5703125" bestFit="1" customWidth="1"/>
    <col min="14105" max="14106" width="9.7109375" bestFit="1" customWidth="1"/>
    <col min="14107" max="14107" width="9.5703125" bestFit="1" customWidth="1"/>
    <col min="14108" max="14108" width="9.28515625" customWidth="1"/>
    <col min="14109" max="14109" width="9.85546875" customWidth="1"/>
    <col min="14110" max="14110" width="9.7109375" customWidth="1"/>
    <col min="14111" max="14111" width="10.28515625" bestFit="1" customWidth="1"/>
    <col min="14112" max="14112" width="9.7109375" bestFit="1" customWidth="1"/>
    <col min="14354" max="14354" width="24.42578125" customWidth="1"/>
    <col min="14355" max="14355" width="12.5703125" customWidth="1"/>
    <col min="14356" max="14357" width="9.7109375" bestFit="1" customWidth="1"/>
    <col min="14358" max="14359" width="9.5703125" bestFit="1" customWidth="1"/>
    <col min="14360" max="14360" width="11.5703125" bestFit="1" customWidth="1"/>
    <col min="14361" max="14362" width="9.7109375" bestFit="1" customWidth="1"/>
    <col min="14363" max="14363" width="9.5703125" bestFit="1" customWidth="1"/>
    <col min="14364" max="14364" width="9.28515625" customWidth="1"/>
    <col min="14365" max="14365" width="9.85546875" customWidth="1"/>
    <col min="14366" max="14366" width="9.7109375" customWidth="1"/>
    <col min="14367" max="14367" width="10.28515625" bestFit="1" customWidth="1"/>
    <col min="14368" max="14368" width="9.7109375" bestFit="1" customWidth="1"/>
    <col min="14610" max="14610" width="24.42578125" customWidth="1"/>
    <col min="14611" max="14611" width="12.5703125" customWidth="1"/>
    <col min="14612" max="14613" width="9.7109375" bestFit="1" customWidth="1"/>
    <col min="14614" max="14615" width="9.5703125" bestFit="1" customWidth="1"/>
    <col min="14616" max="14616" width="11.5703125" bestFit="1" customWidth="1"/>
    <col min="14617" max="14618" width="9.7109375" bestFit="1" customWidth="1"/>
    <col min="14619" max="14619" width="9.5703125" bestFit="1" customWidth="1"/>
    <col min="14620" max="14620" width="9.28515625" customWidth="1"/>
    <col min="14621" max="14621" width="9.85546875" customWidth="1"/>
    <col min="14622" max="14622" width="9.7109375" customWidth="1"/>
    <col min="14623" max="14623" width="10.28515625" bestFit="1" customWidth="1"/>
    <col min="14624" max="14624" width="9.7109375" bestFit="1" customWidth="1"/>
    <col min="14866" max="14866" width="24.42578125" customWidth="1"/>
    <col min="14867" max="14867" width="12.5703125" customWidth="1"/>
    <col min="14868" max="14869" width="9.7109375" bestFit="1" customWidth="1"/>
    <col min="14870" max="14871" width="9.5703125" bestFit="1" customWidth="1"/>
    <col min="14872" max="14872" width="11.5703125" bestFit="1" customWidth="1"/>
    <col min="14873" max="14874" width="9.7109375" bestFit="1" customWidth="1"/>
    <col min="14875" max="14875" width="9.5703125" bestFit="1" customWidth="1"/>
    <col min="14876" max="14876" width="9.28515625" customWidth="1"/>
    <col min="14877" max="14877" width="9.85546875" customWidth="1"/>
    <col min="14878" max="14878" width="9.7109375" customWidth="1"/>
    <col min="14879" max="14879" width="10.28515625" bestFit="1" customWidth="1"/>
    <col min="14880" max="14880" width="9.7109375" bestFit="1" customWidth="1"/>
    <col min="15122" max="15122" width="24.42578125" customWidth="1"/>
    <col min="15123" max="15123" width="12.5703125" customWidth="1"/>
    <col min="15124" max="15125" width="9.7109375" bestFit="1" customWidth="1"/>
    <col min="15126" max="15127" width="9.5703125" bestFit="1" customWidth="1"/>
    <col min="15128" max="15128" width="11.5703125" bestFit="1" customWidth="1"/>
    <col min="15129" max="15130" width="9.7109375" bestFit="1" customWidth="1"/>
    <col min="15131" max="15131" width="9.5703125" bestFit="1" customWidth="1"/>
    <col min="15132" max="15132" width="9.28515625" customWidth="1"/>
    <col min="15133" max="15133" width="9.85546875" customWidth="1"/>
    <col min="15134" max="15134" width="9.7109375" customWidth="1"/>
    <col min="15135" max="15135" width="10.28515625" bestFit="1" customWidth="1"/>
    <col min="15136" max="15136" width="9.7109375" bestFit="1" customWidth="1"/>
    <col min="15378" max="15378" width="24.42578125" customWidth="1"/>
    <col min="15379" max="15379" width="12.5703125" customWidth="1"/>
    <col min="15380" max="15381" width="9.7109375" bestFit="1" customWidth="1"/>
    <col min="15382" max="15383" width="9.5703125" bestFit="1" customWidth="1"/>
    <col min="15384" max="15384" width="11.5703125" bestFit="1" customWidth="1"/>
    <col min="15385" max="15386" width="9.7109375" bestFit="1" customWidth="1"/>
    <col min="15387" max="15387" width="9.5703125" bestFit="1" customWidth="1"/>
    <col min="15388" max="15388" width="9.28515625" customWidth="1"/>
    <col min="15389" max="15389" width="9.85546875" customWidth="1"/>
    <col min="15390" max="15390" width="9.7109375" customWidth="1"/>
    <col min="15391" max="15391" width="10.28515625" bestFit="1" customWidth="1"/>
    <col min="15392" max="15392" width="9.7109375" bestFit="1" customWidth="1"/>
    <col min="15634" max="15634" width="24.42578125" customWidth="1"/>
    <col min="15635" max="15635" width="12.5703125" customWidth="1"/>
    <col min="15636" max="15637" width="9.7109375" bestFit="1" customWidth="1"/>
    <col min="15638" max="15639" width="9.5703125" bestFit="1" customWidth="1"/>
    <col min="15640" max="15640" width="11.5703125" bestFit="1" customWidth="1"/>
    <col min="15641" max="15642" width="9.7109375" bestFit="1" customWidth="1"/>
    <col min="15643" max="15643" width="9.5703125" bestFit="1" customWidth="1"/>
    <col min="15644" max="15644" width="9.28515625" customWidth="1"/>
    <col min="15645" max="15645" width="9.85546875" customWidth="1"/>
    <col min="15646" max="15646" width="9.7109375" customWidth="1"/>
    <col min="15647" max="15647" width="10.28515625" bestFit="1" customWidth="1"/>
    <col min="15648" max="15648" width="9.7109375" bestFit="1" customWidth="1"/>
    <col min="15890" max="15890" width="24.42578125" customWidth="1"/>
    <col min="15891" max="15891" width="12.5703125" customWidth="1"/>
    <col min="15892" max="15893" width="9.7109375" bestFit="1" customWidth="1"/>
    <col min="15894" max="15895" width="9.5703125" bestFit="1" customWidth="1"/>
    <col min="15896" max="15896" width="11.5703125" bestFit="1" customWidth="1"/>
    <col min="15897" max="15898" width="9.7109375" bestFit="1" customWidth="1"/>
    <col min="15899" max="15899" width="9.5703125" bestFit="1" customWidth="1"/>
    <col min="15900" max="15900" width="9.28515625" customWidth="1"/>
    <col min="15901" max="15901" width="9.85546875" customWidth="1"/>
    <col min="15902" max="15902" width="9.7109375" customWidth="1"/>
    <col min="15903" max="15903" width="10.28515625" bestFit="1" customWidth="1"/>
    <col min="15904" max="15904" width="9.7109375" bestFit="1" customWidth="1"/>
    <col min="16146" max="16146" width="24.42578125" customWidth="1"/>
    <col min="16147" max="16147" width="12.5703125" customWidth="1"/>
    <col min="16148" max="16149" width="9.7109375" bestFit="1" customWidth="1"/>
    <col min="16150" max="16151" width="9.5703125" bestFit="1" customWidth="1"/>
    <col min="16152" max="16152" width="11.5703125" bestFit="1" customWidth="1"/>
    <col min="16153" max="16154" width="9.7109375" bestFit="1" customWidth="1"/>
    <col min="16155" max="16155" width="9.5703125" bestFit="1" customWidth="1"/>
    <col min="16156" max="16156" width="9.28515625" customWidth="1"/>
    <col min="16157" max="16157" width="9.85546875" customWidth="1"/>
    <col min="16158" max="16158" width="9.7109375" customWidth="1"/>
    <col min="16159" max="16159" width="10.28515625" bestFit="1" customWidth="1"/>
    <col min="16160" max="16160" width="9.7109375" bestFit="1" customWidth="1"/>
  </cols>
  <sheetData>
    <row r="1" spans="1:44" s="2" customFormat="1" ht="12.75" x14ac:dyDescent="0.2">
      <c r="A1" s="1" t="s">
        <v>126</v>
      </c>
      <c r="B1" s="51" t="s">
        <v>86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12</v>
      </c>
      <c r="R1" s="2" t="s">
        <v>55</v>
      </c>
      <c r="S1" s="2" t="s">
        <v>71</v>
      </c>
      <c r="T1" s="2" t="s">
        <v>72</v>
      </c>
      <c r="U1" s="2" t="s">
        <v>78</v>
      </c>
      <c r="V1" s="2" t="s">
        <v>80</v>
      </c>
      <c r="W1" s="2" t="s">
        <v>83</v>
      </c>
      <c r="X1" s="2" t="s">
        <v>91</v>
      </c>
      <c r="Y1" s="2" t="s">
        <v>93</v>
      </c>
      <c r="Z1" s="2" t="s">
        <v>95</v>
      </c>
      <c r="AA1" s="2" t="s">
        <v>106</v>
      </c>
      <c r="AB1" s="2" t="s">
        <v>113</v>
      </c>
      <c r="AC1" s="69" t="s">
        <v>117</v>
      </c>
      <c r="AD1" s="72" t="s">
        <v>124</v>
      </c>
      <c r="AE1" s="2" t="s">
        <v>56</v>
      </c>
      <c r="AF1" s="2" t="s">
        <v>74</v>
      </c>
      <c r="AG1" s="2" t="s">
        <v>75</v>
      </c>
      <c r="AH1" s="2" t="s">
        <v>68</v>
      </c>
      <c r="AI1" s="2" t="s">
        <v>79</v>
      </c>
      <c r="AJ1" s="46" t="s">
        <v>81</v>
      </c>
      <c r="AK1" s="46" t="s">
        <v>84</v>
      </c>
      <c r="AL1" s="46" t="s">
        <v>92</v>
      </c>
      <c r="AM1" s="46" t="s">
        <v>94</v>
      </c>
      <c r="AN1" s="46" t="s">
        <v>96</v>
      </c>
      <c r="AO1" s="46" t="s">
        <v>107</v>
      </c>
      <c r="AP1" s="46" t="s">
        <v>112</v>
      </c>
      <c r="AQ1" s="46" t="s">
        <v>118</v>
      </c>
      <c r="AR1" s="46" t="s">
        <v>125</v>
      </c>
    </row>
    <row r="2" spans="1:44" x14ac:dyDescent="0.25">
      <c r="A2" s="32" t="s">
        <v>57</v>
      </c>
      <c r="B2" s="32">
        <v>41</v>
      </c>
      <c r="C2" s="57">
        <v>1647</v>
      </c>
      <c r="D2" s="4">
        <v>1485</v>
      </c>
      <c r="E2" s="4">
        <v>1516</v>
      </c>
      <c r="F2" s="59">
        <v>1090</v>
      </c>
      <c r="G2" s="4"/>
      <c r="H2" s="59"/>
      <c r="I2" s="59"/>
      <c r="J2" s="59"/>
      <c r="K2" s="59"/>
      <c r="L2" s="59"/>
      <c r="M2" s="4"/>
      <c r="N2" s="4"/>
      <c r="O2" s="68">
        <f>AVERAGE(C2:N2)</f>
        <v>1434.5</v>
      </c>
      <c r="P2" t="s">
        <v>13</v>
      </c>
      <c r="R2" s="20">
        <v>1027.5</v>
      </c>
      <c r="S2" s="20">
        <v>871</v>
      </c>
      <c r="T2" s="20">
        <v>782.25</v>
      </c>
      <c r="U2" s="20">
        <v>921</v>
      </c>
      <c r="V2" s="20">
        <v>1122.0833333333333</v>
      </c>
      <c r="W2" s="20">
        <v>1209.6666666666667</v>
      </c>
      <c r="X2" s="20">
        <v>1106.25</v>
      </c>
      <c r="Y2" s="20">
        <v>1249.5833333333301</v>
      </c>
      <c r="Z2" s="20">
        <v>1346.4166666666667</v>
      </c>
      <c r="AA2" s="20">
        <v>1610.9166666666667</v>
      </c>
      <c r="AB2" s="20">
        <v>1725.5833333333333</v>
      </c>
      <c r="AC2" s="70">
        <v>1694</v>
      </c>
      <c r="AD2" s="73">
        <f>O2</f>
        <v>1434.5</v>
      </c>
      <c r="AE2" s="23">
        <v>13.1</v>
      </c>
      <c r="AF2" s="23">
        <f>+R2*AE2</f>
        <v>13460.25</v>
      </c>
      <c r="AG2" s="23">
        <f>+S2*AE2</f>
        <v>11410.1</v>
      </c>
      <c r="AH2" s="23">
        <f>+T2*AE2</f>
        <v>10247.475</v>
      </c>
      <c r="AI2" s="24">
        <f>+U2*AE2</f>
        <v>12065.1</v>
      </c>
      <c r="AJ2" s="24">
        <f>+V2*AE2</f>
        <v>14699.291666666666</v>
      </c>
      <c r="AK2" s="24">
        <f>+W2*AE2</f>
        <v>15846.633333333333</v>
      </c>
      <c r="AL2" s="24">
        <f>+X2*AE2</f>
        <v>14491.875</v>
      </c>
      <c r="AM2" s="24">
        <f>+Y2*AE2</f>
        <v>16369.541666666624</v>
      </c>
      <c r="AN2" s="24">
        <f>+Z2*AE2</f>
        <v>17638.058333333334</v>
      </c>
      <c r="AO2" s="24">
        <f>+AA2*AE2</f>
        <v>21103.008333333335</v>
      </c>
      <c r="AP2" s="24">
        <f>+AB2*AE2</f>
        <v>22605.141666666666</v>
      </c>
      <c r="AQ2" s="24">
        <f>+AC2*AE2</f>
        <v>22191.399999999998</v>
      </c>
      <c r="AR2" s="24">
        <f>+AD2*AE2</f>
        <v>18791.95</v>
      </c>
    </row>
    <row r="3" spans="1:44" x14ac:dyDescent="0.25">
      <c r="A3" s="33" t="s">
        <v>15</v>
      </c>
      <c r="B3" s="34" t="s">
        <v>61</v>
      </c>
      <c r="C3" s="57">
        <v>3709</v>
      </c>
      <c r="D3" s="4">
        <v>4234</v>
      </c>
      <c r="E3" s="4">
        <v>4853</v>
      </c>
      <c r="F3" s="59">
        <v>4177</v>
      </c>
      <c r="G3" s="4"/>
      <c r="H3" s="59"/>
      <c r="I3" s="59"/>
      <c r="J3" s="59"/>
      <c r="K3" s="59"/>
      <c r="L3" s="4"/>
      <c r="M3" s="4"/>
      <c r="N3" s="4"/>
      <c r="O3" s="68">
        <f t="shared" ref="O3:O55" si="0">AVERAGE(C3:N3)</f>
        <v>4243.25</v>
      </c>
      <c r="P3" t="s">
        <v>15</v>
      </c>
      <c r="R3" s="20">
        <v>4561.166666666667</v>
      </c>
      <c r="S3" s="20">
        <v>3374</v>
      </c>
      <c r="T3" s="20">
        <v>3009.75</v>
      </c>
      <c r="U3" s="20">
        <v>3097</v>
      </c>
      <c r="V3" s="20">
        <v>3378.75</v>
      </c>
      <c r="W3" s="20">
        <v>3708.9166666666665</v>
      </c>
      <c r="X3" s="20">
        <v>3866.25</v>
      </c>
      <c r="Y3" s="20">
        <v>4080.1666666666665</v>
      </c>
      <c r="Z3" s="20">
        <v>4403.833333333333</v>
      </c>
      <c r="AA3" s="20">
        <v>5046.166666666667</v>
      </c>
      <c r="AB3" s="20">
        <v>5294.666666666667</v>
      </c>
      <c r="AC3" s="70">
        <v>4975</v>
      </c>
      <c r="AD3" s="73">
        <f>O3</f>
        <v>4243.25</v>
      </c>
      <c r="AE3" s="23">
        <v>10.3</v>
      </c>
      <c r="AF3" s="23">
        <f>+R3*AE3</f>
        <v>46980.01666666667</v>
      </c>
      <c r="AG3" s="23">
        <f>+S3*AE3</f>
        <v>34752.200000000004</v>
      </c>
      <c r="AH3" s="23">
        <f>+T3*AE3</f>
        <v>31000.425000000003</v>
      </c>
      <c r="AI3" s="24">
        <f>+U3*AE3</f>
        <v>31899.100000000002</v>
      </c>
      <c r="AJ3" s="24">
        <f>+V3*AE3</f>
        <v>34801.125</v>
      </c>
      <c r="AK3" s="24">
        <f>+W3*AE3</f>
        <v>38201.841666666667</v>
      </c>
      <c r="AL3" s="24">
        <f>+X3*AE3</f>
        <v>39822.375</v>
      </c>
      <c r="AM3" s="24">
        <f>+Y3*AE3</f>
        <v>42025.716666666667</v>
      </c>
      <c r="AN3" s="24">
        <f>+Z3*AE3</f>
        <v>45359.48333333333</v>
      </c>
      <c r="AO3" s="24">
        <f>+AA3*AE3</f>
        <v>51975.51666666667</v>
      </c>
      <c r="AP3" s="24">
        <f>+AB3*AE3</f>
        <v>54535.066666666673</v>
      </c>
      <c r="AQ3" s="24">
        <f>+AC3*AE3</f>
        <v>51242.5</v>
      </c>
      <c r="AR3" s="24">
        <f t="shared" ref="AR3:AR56" si="1">+AD3*AE3</f>
        <v>43705.475000000006</v>
      </c>
    </row>
    <row r="4" spans="1:44" x14ac:dyDescent="0.25">
      <c r="A4" s="32" t="s">
        <v>20</v>
      </c>
      <c r="B4" s="32">
        <v>49</v>
      </c>
      <c r="C4" s="57">
        <v>563</v>
      </c>
      <c r="D4" s="4">
        <v>598</v>
      </c>
      <c r="E4" s="4">
        <v>868</v>
      </c>
      <c r="F4" s="59">
        <v>407</v>
      </c>
      <c r="G4" s="4"/>
      <c r="H4" s="59"/>
      <c r="I4" s="59"/>
      <c r="J4" s="59"/>
      <c r="K4" s="59"/>
      <c r="L4" s="4"/>
      <c r="M4" s="4"/>
      <c r="N4" s="4"/>
      <c r="O4" s="68">
        <f>AVERAGE(C4:N4)</f>
        <v>609</v>
      </c>
      <c r="P4" t="s">
        <v>20</v>
      </c>
      <c r="R4" s="20">
        <v>542.75</v>
      </c>
      <c r="S4" s="20">
        <v>446</v>
      </c>
      <c r="T4" s="20">
        <v>382.25</v>
      </c>
      <c r="U4" s="20">
        <v>434</v>
      </c>
      <c r="V4" s="20">
        <v>455.91666666666669</v>
      </c>
      <c r="W4" s="20">
        <v>469.91666666666669</v>
      </c>
      <c r="X4" s="20">
        <v>554.5</v>
      </c>
      <c r="Y4" s="20">
        <v>553.16666666666663</v>
      </c>
      <c r="Z4" s="20">
        <v>559.83333333333337</v>
      </c>
      <c r="AA4" s="20">
        <v>594.25</v>
      </c>
      <c r="AB4" s="20">
        <v>684.91666666666663</v>
      </c>
      <c r="AC4" s="70">
        <v>680.58333333333337</v>
      </c>
      <c r="AD4" s="73">
        <f>O4</f>
        <v>609</v>
      </c>
      <c r="AE4" s="23">
        <v>12.44</v>
      </c>
      <c r="AF4" s="23">
        <f>+R4*AE4</f>
        <v>6751.8099999999995</v>
      </c>
      <c r="AG4" s="23">
        <f>+S4*AE4</f>
        <v>5548.24</v>
      </c>
      <c r="AH4" s="23">
        <f>+T4*AE4</f>
        <v>4755.1899999999996</v>
      </c>
      <c r="AI4" s="24">
        <f>+U4*AE4</f>
        <v>5398.96</v>
      </c>
      <c r="AJ4" s="24">
        <f>+V4*AE4</f>
        <v>5671.6033333333335</v>
      </c>
      <c r="AK4" s="24">
        <f>+W4*AE4</f>
        <v>5845.7633333333333</v>
      </c>
      <c r="AL4" s="24">
        <f>+X4*AE4</f>
        <v>6897.98</v>
      </c>
      <c r="AM4" s="24">
        <f>+Y4*AE4</f>
        <v>6881.3933333333325</v>
      </c>
      <c r="AN4" s="24">
        <f>+Z4*AE4</f>
        <v>6964.3266666666668</v>
      </c>
      <c r="AO4" s="24">
        <f>+AA4*AE4</f>
        <v>7392.4699999999993</v>
      </c>
      <c r="AP4" s="24">
        <f>+AB4*AE4</f>
        <v>8520.3633333333328</v>
      </c>
      <c r="AQ4" s="24">
        <f t="shared" ref="AQ4:AQ56" si="2">+AC4*AE4</f>
        <v>8466.4566666666669</v>
      </c>
      <c r="AR4" s="24">
        <f t="shared" si="1"/>
        <v>7575.96</v>
      </c>
    </row>
    <row r="5" spans="1:44" x14ac:dyDescent="0.25">
      <c r="A5" s="33" t="s">
        <v>24</v>
      </c>
      <c r="B5" s="34" t="s">
        <v>62</v>
      </c>
      <c r="C5" s="57">
        <v>3582</v>
      </c>
      <c r="D5" s="4">
        <f>6006+74</f>
        <v>6080</v>
      </c>
      <c r="E5" s="4">
        <f>4069+98</f>
        <v>4167</v>
      </c>
      <c r="F5" s="59">
        <f>3559+55</f>
        <v>3614</v>
      </c>
      <c r="G5" s="4"/>
      <c r="H5" s="4"/>
      <c r="I5" s="4"/>
      <c r="J5" s="4"/>
      <c r="K5" s="59"/>
      <c r="L5" s="4"/>
      <c r="M5" s="4"/>
      <c r="N5" s="4"/>
      <c r="O5" s="76">
        <f>AVERAGE(C5:N5)</f>
        <v>4360.75</v>
      </c>
      <c r="P5" t="s">
        <v>24</v>
      </c>
      <c r="R5" s="20">
        <v>2863.25</v>
      </c>
      <c r="S5" s="20">
        <v>2224</v>
      </c>
      <c r="T5" s="20">
        <v>2090.9166666666665</v>
      </c>
      <c r="U5" s="20">
        <v>2257</v>
      </c>
      <c r="V5" s="20">
        <v>2857.3333333333335</v>
      </c>
      <c r="W5" s="20">
        <v>3229.8333333333335</v>
      </c>
      <c r="X5" s="20">
        <v>3151.5833333333335</v>
      </c>
      <c r="Y5" s="20">
        <v>3826.25</v>
      </c>
      <c r="Z5" s="20">
        <v>4496.166666666667</v>
      </c>
      <c r="AA5" s="20">
        <v>3929.5</v>
      </c>
      <c r="AB5" s="20">
        <v>4280.583333333333</v>
      </c>
      <c r="AC5" s="70">
        <v>3966.3333333333335</v>
      </c>
      <c r="AD5" s="73">
        <f>O5</f>
        <v>4360.75</v>
      </c>
      <c r="AE5" s="23">
        <v>6.59</v>
      </c>
      <c r="AF5" s="23">
        <f>+R5*AE5</f>
        <v>18868.817500000001</v>
      </c>
      <c r="AG5" s="23">
        <f>+S5*AE5</f>
        <v>14656.16</v>
      </c>
      <c r="AH5" s="23">
        <f>+T5*AE5</f>
        <v>13779.140833333333</v>
      </c>
      <c r="AI5" s="24">
        <f>+U5*AE5</f>
        <v>14873.63</v>
      </c>
      <c r="AJ5" s="24">
        <f>+V5*AE5</f>
        <v>18829.826666666668</v>
      </c>
      <c r="AK5" s="24">
        <f>+W5*AE5</f>
        <v>21284.601666666666</v>
      </c>
      <c r="AL5" s="24">
        <f>+X5*AE5</f>
        <v>20768.934166666666</v>
      </c>
      <c r="AM5" s="24">
        <f>+Y5*AE5</f>
        <v>25214.987499999999</v>
      </c>
      <c r="AN5" s="24">
        <f>+Z5*AE5</f>
        <v>29629.738333333335</v>
      </c>
      <c r="AO5" s="24">
        <f>+AA5*AE5</f>
        <v>25895.404999999999</v>
      </c>
      <c r="AP5" s="24">
        <f>+AB5*AE5</f>
        <v>28209.044166666663</v>
      </c>
      <c r="AQ5" s="24">
        <f t="shared" si="2"/>
        <v>26138.136666666665</v>
      </c>
      <c r="AR5" s="24">
        <f t="shared" si="1"/>
        <v>28737.342499999999</v>
      </c>
    </row>
    <row r="6" spans="1:44" x14ac:dyDescent="0.25">
      <c r="A6" s="32" t="s">
        <v>34</v>
      </c>
      <c r="B6" s="32">
        <v>116</v>
      </c>
      <c r="C6" s="57">
        <v>1283</v>
      </c>
      <c r="D6" s="4">
        <f>945+360</f>
        <v>1305</v>
      </c>
      <c r="E6" s="4">
        <v>1693</v>
      </c>
      <c r="F6" s="59">
        <v>1619</v>
      </c>
      <c r="G6" s="4"/>
      <c r="H6" s="59"/>
      <c r="I6" s="59"/>
      <c r="J6" s="59"/>
      <c r="K6" s="59"/>
      <c r="L6" s="4"/>
      <c r="M6" s="4"/>
      <c r="N6" s="4"/>
      <c r="O6" s="68">
        <f>AVERAGE(C6:N6)</f>
        <v>1475</v>
      </c>
      <c r="P6" t="s">
        <v>34</v>
      </c>
      <c r="R6" s="20">
        <v>1454.3333333333333</v>
      </c>
      <c r="S6" s="20">
        <v>1122</v>
      </c>
      <c r="T6" s="20">
        <v>913.66666666666663</v>
      </c>
      <c r="U6" s="20">
        <v>1213</v>
      </c>
      <c r="V6" s="20">
        <v>1281</v>
      </c>
      <c r="W6" s="20">
        <v>1350.5</v>
      </c>
      <c r="X6" s="20">
        <v>1258.5</v>
      </c>
      <c r="Y6" s="20">
        <v>1291.8333333333333</v>
      </c>
      <c r="Z6" s="20">
        <v>1499.6666666666667</v>
      </c>
      <c r="AA6" s="20">
        <v>1684.8333333333333</v>
      </c>
      <c r="AB6" s="20">
        <v>1716.5833333333333</v>
      </c>
      <c r="AC6" s="70">
        <v>1475.9166666666667</v>
      </c>
      <c r="AD6" s="73">
        <f>O6</f>
        <v>1475</v>
      </c>
      <c r="AE6" s="23">
        <v>10.199999999999999</v>
      </c>
      <c r="AF6" s="23">
        <f>+R6*AE6</f>
        <v>14834.199999999999</v>
      </c>
      <c r="AG6" s="23">
        <f>+S6*AE6</f>
        <v>11444.4</v>
      </c>
      <c r="AH6" s="23">
        <f>+T6*AE6</f>
        <v>9319.4</v>
      </c>
      <c r="AI6" s="24">
        <f>+U6*AE6</f>
        <v>12372.599999999999</v>
      </c>
      <c r="AJ6" s="24">
        <f>+V6*AE6</f>
        <v>13066.199999999999</v>
      </c>
      <c r="AK6" s="24">
        <f>+W6*AE6</f>
        <v>13775.099999999999</v>
      </c>
      <c r="AL6" s="24">
        <f>+X6*AE6</f>
        <v>12836.699999999999</v>
      </c>
      <c r="AM6" s="24">
        <f>+Y6*AE6</f>
        <v>13176.699999999999</v>
      </c>
      <c r="AN6" s="24">
        <f>+Z6*AE6</f>
        <v>15296.6</v>
      </c>
      <c r="AO6" s="24">
        <f>+AA6*AE6</f>
        <v>17185.3</v>
      </c>
      <c r="AP6" s="24">
        <f>+AB6*AE6</f>
        <v>17509.149999999998</v>
      </c>
      <c r="AQ6" s="24">
        <f t="shared" si="2"/>
        <v>15054.35</v>
      </c>
      <c r="AR6" s="24">
        <f t="shared" si="1"/>
        <v>15044.999999999998</v>
      </c>
    </row>
    <row r="7" spans="1:44" s="53" customFormat="1" x14ac:dyDescent="0.25">
      <c r="A7" s="52" t="s">
        <v>87</v>
      </c>
      <c r="B7" s="52"/>
      <c r="C7" s="58">
        <f>SUM(C2:C6)</f>
        <v>10784</v>
      </c>
      <c r="D7" s="93">
        <f t="shared" ref="D7:N7" si="3">SUM(D2:D6)</f>
        <v>13702</v>
      </c>
      <c r="E7" s="58">
        <f>SUM(E2:E6)</f>
        <v>13097</v>
      </c>
      <c r="F7" s="58">
        <f t="shared" si="3"/>
        <v>10907</v>
      </c>
      <c r="G7" s="8">
        <f t="shared" si="3"/>
        <v>0</v>
      </c>
      <c r="H7" s="62">
        <f>SUM(H2:H6)</f>
        <v>0</v>
      </c>
      <c r="I7" s="62">
        <f t="shared" si="3"/>
        <v>0</v>
      </c>
      <c r="J7" s="81">
        <f>SUM(J2:J6)</f>
        <v>0</v>
      </c>
      <c r="K7" s="62">
        <f t="shared" si="3"/>
        <v>0</v>
      </c>
      <c r="L7" s="8">
        <f>SUM(L2:L6)</f>
        <v>0</v>
      </c>
      <c r="M7" s="8">
        <f t="shared" si="3"/>
        <v>0</v>
      </c>
      <c r="N7" s="8">
        <f t="shared" si="3"/>
        <v>0</v>
      </c>
      <c r="O7" s="68">
        <f>SUM(O2:O6)</f>
        <v>12122.5</v>
      </c>
      <c r="P7" s="52" t="s">
        <v>87</v>
      </c>
      <c r="R7" s="21">
        <f>SUM(R2:R6)</f>
        <v>10449.000000000002</v>
      </c>
      <c r="S7" s="21">
        <f t="shared" ref="S7:V7" si="4">SUM(S2:S6)</f>
        <v>8037</v>
      </c>
      <c r="T7" s="21">
        <f t="shared" si="4"/>
        <v>7178.833333333333</v>
      </c>
      <c r="U7" s="21">
        <f t="shared" si="4"/>
        <v>7922</v>
      </c>
      <c r="V7" s="21">
        <f t="shared" si="4"/>
        <v>9095.0833333333339</v>
      </c>
      <c r="W7" s="21">
        <f t="shared" ref="W7:AC7" si="5">SUM(W2:W6)</f>
        <v>9968.8333333333339</v>
      </c>
      <c r="X7" s="21">
        <f t="shared" si="5"/>
        <v>9937.0833333333339</v>
      </c>
      <c r="Y7" s="21">
        <f t="shared" si="5"/>
        <v>11000.999999999998</v>
      </c>
      <c r="Z7" s="21">
        <f t="shared" si="5"/>
        <v>12305.916666666666</v>
      </c>
      <c r="AA7" s="21">
        <f t="shared" si="5"/>
        <v>12865.666666666668</v>
      </c>
      <c r="AB7" s="40">
        <f t="shared" si="5"/>
        <v>13702.333333333334</v>
      </c>
      <c r="AC7" s="40">
        <f t="shared" si="5"/>
        <v>12791.833333333332</v>
      </c>
      <c r="AD7" s="74">
        <f>SUM(AD2:AD6)</f>
        <v>12122.5</v>
      </c>
      <c r="AE7" s="41"/>
      <c r="AF7" s="41"/>
      <c r="AG7" s="41"/>
      <c r="AH7" s="41"/>
      <c r="AI7" s="42"/>
      <c r="AJ7" s="42"/>
      <c r="AK7" s="42"/>
    </row>
    <row r="8" spans="1:44" x14ac:dyDescent="0.25">
      <c r="A8" s="35" t="s">
        <v>16</v>
      </c>
      <c r="B8" s="35" t="s">
        <v>110</v>
      </c>
      <c r="C8" s="57">
        <v>2064</v>
      </c>
      <c r="D8" s="4">
        <v>2539</v>
      </c>
      <c r="E8" s="4">
        <v>2745</v>
      </c>
      <c r="F8" s="59">
        <v>2362</v>
      </c>
      <c r="G8" s="4"/>
      <c r="H8" s="59"/>
      <c r="I8" s="59"/>
      <c r="J8" s="59"/>
      <c r="K8" s="80"/>
      <c r="L8" s="4"/>
      <c r="M8" s="4"/>
      <c r="N8" s="4"/>
      <c r="O8" s="68">
        <f t="shared" si="0"/>
        <v>2427.5</v>
      </c>
      <c r="P8" t="s">
        <v>16</v>
      </c>
      <c r="R8" s="20">
        <v>3641.1666666666665</v>
      </c>
      <c r="S8" s="20">
        <v>3385</v>
      </c>
      <c r="T8" s="20">
        <v>3014.25</v>
      </c>
      <c r="U8" s="20">
        <v>2864</v>
      </c>
      <c r="V8" s="20">
        <v>2776.4166666666665</v>
      </c>
      <c r="W8" s="20">
        <v>2739.4166666666665</v>
      </c>
      <c r="X8" s="20">
        <v>2949.1666666666665</v>
      </c>
      <c r="Y8" s="20">
        <v>2463</v>
      </c>
      <c r="Z8" s="20">
        <v>2820.3333333333335</v>
      </c>
      <c r="AA8" s="20">
        <v>3414.3333333333335</v>
      </c>
      <c r="AB8" s="20">
        <v>2970.3333333333335</v>
      </c>
      <c r="AC8" s="70">
        <v>2635</v>
      </c>
      <c r="AD8" s="73">
        <f>O8</f>
        <v>2427.5</v>
      </c>
      <c r="AE8" s="23">
        <v>10.1</v>
      </c>
      <c r="AF8" s="23">
        <f>+R8*AE8</f>
        <v>36775.783333333333</v>
      </c>
      <c r="AG8" s="23">
        <f>+S8*AE8</f>
        <v>34188.5</v>
      </c>
      <c r="AH8" s="23">
        <f>+T8*AE8</f>
        <v>30443.924999999999</v>
      </c>
      <c r="AI8" s="24">
        <f>+U8*AE8</f>
        <v>28926.399999999998</v>
      </c>
      <c r="AJ8" s="24">
        <f>+V8*AE8</f>
        <v>28041.808333333331</v>
      </c>
      <c r="AK8" s="24">
        <f>+W8*AE8</f>
        <v>27668.10833333333</v>
      </c>
      <c r="AL8" s="24">
        <f>+X8*AE8</f>
        <v>29786.583333333332</v>
      </c>
      <c r="AM8" s="24">
        <f>+Y8*AE8</f>
        <v>24876.3</v>
      </c>
      <c r="AN8" s="24">
        <f>+Z8*AE8</f>
        <v>28485.366666666669</v>
      </c>
      <c r="AO8" s="24">
        <f>+AA8*AE8</f>
        <v>34484.76666666667</v>
      </c>
      <c r="AP8" s="24">
        <f>+AB8*AE8</f>
        <v>30000.366666666669</v>
      </c>
      <c r="AQ8" s="24">
        <f t="shared" si="2"/>
        <v>26613.5</v>
      </c>
      <c r="AR8" s="24">
        <f t="shared" si="1"/>
        <v>24517.75</v>
      </c>
    </row>
    <row r="9" spans="1:44" x14ac:dyDescent="0.25">
      <c r="A9" s="35" t="s">
        <v>17</v>
      </c>
      <c r="B9" s="35" t="s">
        <v>90</v>
      </c>
      <c r="C9" s="57">
        <v>910</v>
      </c>
      <c r="D9" s="4">
        <v>830</v>
      </c>
      <c r="E9" s="4">
        <v>1489</v>
      </c>
      <c r="F9" s="59">
        <v>613</v>
      </c>
      <c r="G9" s="4"/>
      <c r="H9" s="59"/>
      <c r="I9" s="59"/>
      <c r="J9" s="59"/>
      <c r="K9" s="59"/>
      <c r="L9" s="4"/>
      <c r="M9" s="4"/>
      <c r="N9" s="4"/>
      <c r="O9" s="76">
        <f t="shared" si="0"/>
        <v>960.5</v>
      </c>
      <c r="P9" t="s">
        <v>17</v>
      </c>
      <c r="R9" s="20">
        <v>644.16666666666663</v>
      </c>
      <c r="S9" s="20">
        <v>739</v>
      </c>
      <c r="T9" s="20">
        <v>537.66666666666663</v>
      </c>
      <c r="U9" s="20">
        <v>590</v>
      </c>
      <c r="V9" s="20">
        <v>666.83333333333337</v>
      </c>
      <c r="W9" s="20">
        <v>586.16666666666663</v>
      </c>
      <c r="X9" s="20">
        <v>708</v>
      </c>
      <c r="Y9" s="20">
        <v>558</v>
      </c>
      <c r="Z9" s="20">
        <v>852.33333333333337</v>
      </c>
      <c r="AA9" s="20">
        <v>1346.5833333333333</v>
      </c>
      <c r="AB9" s="20">
        <v>1141</v>
      </c>
      <c r="AC9" s="70">
        <v>950.33333333333337</v>
      </c>
      <c r="AD9" s="73">
        <f>O9</f>
        <v>960.5</v>
      </c>
      <c r="AE9" s="23">
        <v>8.25</v>
      </c>
      <c r="AF9" s="23">
        <f>+R9*AE9</f>
        <v>5314.375</v>
      </c>
      <c r="AG9" s="23">
        <f>+S9*AE9</f>
        <v>6096.75</v>
      </c>
      <c r="AH9" s="23">
        <f>+T9*AE9</f>
        <v>4435.75</v>
      </c>
      <c r="AI9" s="24">
        <f>+U9*AE9</f>
        <v>4867.5</v>
      </c>
      <c r="AJ9" s="24">
        <f>+V9*AE9</f>
        <v>5501.375</v>
      </c>
      <c r="AK9" s="24">
        <f>+W9*AE9</f>
        <v>4835.875</v>
      </c>
      <c r="AL9" s="24">
        <f>+X9*AE9</f>
        <v>5841</v>
      </c>
      <c r="AM9" s="24">
        <f>+Y9*AE9</f>
        <v>4603.5</v>
      </c>
      <c r="AN9" s="24">
        <f>+Z9*AE9</f>
        <v>7031.75</v>
      </c>
      <c r="AO9" s="24">
        <f>+AA9*AE9</f>
        <v>11109.3125</v>
      </c>
      <c r="AP9" s="24">
        <f>+AB9*AE9</f>
        <v>9413.25</v>
      </c>
      <c r="AQ9" s="24">
        <f t="shared" si="2"/>
        <v>7840.25</v>
      </c>
      <c r="AR9" s="24">
        <f t="shared" si="1"/>
        <v>7924.125</v>
      </c>
    </row>
    <row r="10" spans="1:44" x14ac:dyDescent="0.25">
      <c r="A10" s="35" t="s">
        <v>18</v>
      </c>
      <c r="B10" s="35" t="s">
        <v>67</v>
      </c>
      <c r="C10" s="57">
        <v>448</v>
      </c>
      <c r="D10" s="4">
        <v>379</v>
      </c>
      <c r="E10" s="4">
        <v>422</v>
      </c>
      <c r="F10" s="59">
        <v>319</v>
      </c>
      <c r="G10" s="4"/>
      <c r="H10" s="59"/>
      <c r="I10" s="59"/>
      <c r="J10" s="59"/>
      <c r="K10" s="59"/>
      <c r="L10" s="4"/>
      <c r="M10" s="4"/>
      <c r="N10" s="4"/>
      <c r="O10" s="68">
        <f t="shared" si="0"/>
        <v>392</v>
      </c>
      <c r="P10" t="s">
        <v>18</v>
      </c>
      <c r="R10" s="20">
        <v>489.08333333333331</v>
      </c>
      <c r="S10" s="20">
        <v>446</v>
      </c>
      <c r="T10" s="20">
        <v>394.16666666666669</v>
      </c>
      <c r="U10" s="20">
        <v>422</v>
      </c>
      <c r="V10" s="20">
        <v>429.08333333333331</v>
      </c>
      <c r="W10" s="20">
        <v>422.16666666666669</v>
      </c>
      <c r="X10" s="20">
        <v>461.08333333333331</v>
      </c>
      <c r="Y10" s="20">
        <v>351</v>
      </c>
      <c r="Z10" s="20">
        <v>442.5</v>
      </c>
      <c r="AA10" s="20">
        <v>757.41666666666663</v>
      </c>
      <c r="AB10" s="20">
        <v>591</v>
      </c>
      <c r="AC10" s="70">
        <v>501.16666666666669</v>
      </c>
      <c r="AD10" s="73">
        <f>O10</f>
        <v>392</v>
      </c>
      <c r="AE10" s="23">
        <v>11.95</v>
      </c>
      <c r="AF10" s="23">
        <f>+R10*AE10</f>
        <v>5844.5458333333327</v>
      </c>
      <c r="AG10" s="23">
        <f>+S10*AE10</f>
        <v>5329.7</v>
      </c>
      <c r="AH10" s="23">
        <f>+T10*AE10</f>
        <v>4710.291666666667</v>
      </c>
      <c r="AI10" s="24">
        <f>+U10*AE10</f>
        <v>5042.8999999999996</v>
      </c>
      <c r="AJ10" s="24">
        <f>+V10*AE10</f>
        <v>5127.5458333333327</v>
      </c>
      <c r="AK10" s="24">
        <f>+W10*AE10</f>
        <v>5044.8916666666664</v>
      </c>
      <c r="AL10" s="24">
        <f>+X10*AE10</f>
        <v>5509.9458333333332</v>
      </c>
      <c r="AM10" s="24">
        <f>+Y10*AE10</f>
        <v>4194.45</v>
      </c>
      <c r="AN10" s="24">
        <f>+Z10*AE10</f>
        <v>5287.875</v>
      </c>
      <c r="AO10" s="24">
        <f>+AA10*AE10</f>
        <v>9051.1291666666657</v>
      </c>
      <c r="AP10" s="24">
        <f>+AB10*AE10</f>
        <v>7062.45</v>
      </c>
      <c r="AQ10" s="24">
        <f t="shared" si="2"/>
        <v>5988.9416666666666</v>
      </c>
      <c r="AR10" s="24">
        <f t="shared" si="1"/>
        <v>4684.3999999999996</v>
      </c>
    </row>
    <row r="11" spans="1:44" x14ac:dyDescent="0.25">
      <c r="A11" s="35" t="s">
        <v>114</v>
      </c>
      <c r="B11" s="35" t="s">
        <v>90</v>
      </c>
      <c r="C11" s="57">
        <v>639</v>
      </c>
      <c r="D11" s="4">
        <f>171+109</f>
        <v>280</v>
      </c>
      <c r="E11" s="4">
        <f>281+464</f>
        <v>745</v>
      </c>
      <c r="F11" s="59">
        <v>571</v>
      </c>
      <c r="G11" s="4"/>
      <c r="H11" s="59"/>
      <c r="I11" s="59"/>
      <c r="J11" s="59"/>
      <c r="K11" s="59"/>
      <c r="L11" s="4"/>
      <c r="M11" s="4"/>
      <c r="N11" s="4"/>
      <c r="O11" s="92">
        <f t="shared" si="0"/>
        <v>558.75</v>
      </c>
      <c r="P11" t="s">
        <v>114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4.1666666670000003</v>
      </c>
      <c r="AA11" s="20">
        <v>289.5</v>
      </c>
      <c r="AB11" s="20">
        <v>356.5</v>
      </c>
      <c r="AC11" s="70">
        <v>472.75</v>
      </c>
      <c r="AD11" s="73">
        <f>O11</f>
        <v>558.75</v>
      </c>
      <c r="AE11" s="23">
        <v>10.53</v>
      </c>
      <c r="AF11" s="23">
        <f>+R11*AE11</f>
        <v>0</v>
      </c>
      <c r="AG11" s="23">
        <f>+S11*AE11</f>
        <v>0</v>
      </c>
      <c r="AH11" s="23">
        <f>+T11*AE11</f>
        <v>0</v>
      </c>
      <c r="AI11" s="24">
        <f>+U11*AE11</f>
        <v>0</v>
      </c>
      <c r="AJ11" s="24">
        <f>+V11*AE11</f>
        <v>0</v>
      </c>
      <c r="AK11" s="24">
        <f>+W11*AE11</f>
        <v>0</v>
      </c>
      <c r="AL11" s="24">
        <f>+X11*AE11</f>
        <v>0</v>
      </c>
      <c r="AM11" s="24">
        <f>+Y11*AE11</f>
        <v>0</v>
      </c>
      <c r="AN11" s="24">
        <f>+Z11*AE11</f>
        <v>43.875000003510003</v>
      </c>
      <c r="AO11" s="24">
        <f>+AA11*AE11</f>
        <v>3048.4349999999999</v>
      </c>
      <c r="AP11" s="24">
        <f>+AB11*AE11</f>
        <v>3753.9449999999997</v>
      </c>
      <c r="AQ11" s="24">
        <f t="shared" si="2"/>
        <v>4978.0574999999999</v>
      </c>
      <c r="AR11" s="24">
        <f t="shared" si="1"/>
        <v>5883.6374999999998</v>
      </c>
    </row>
    <row r="12" spans="1:44" s="7" customFormat="1" x14ac:dyDescent="0.25">
      <c r="A12" s="36" t="s">
        <v>108</v>
      </c>
      <c r="B12" s="36"/>
      <c r="C12" s="58">
        <f>SUM(C8:C11)</f>
        <v>4061</v>
      </c>
      <c r="D12" s="93">
        <f t="shared" ref="D12:I12" si="6">SUM(D8:D11)</f>
        <v>4028</v>
      </c>
      <c r="E12" s="58">
        <f>SUM(E8:E11)</f>
        <v>5401</v>
      </c>
      <c r="F12" s="58">
        <f t="shared" si="6"/>
        <v>3865</v>
      </c>
      <c r="G12" s="9">
        <f t="shared" si="6"/>
        <v>0</v>
      </c>
      <c r="H12" s="63">
        <f>SUM(H8:H11)</f>
        <v>0</v>
      </c>
      <c r="I12" s="63">
        <f t="shared" si="6"/>
        <v>0</v>
      </c>
      <c r="J12" s="81">
        <f>SUM(J8:J11)</f>
        <v>0</v>
      </c>
      <c r="K12" s="62">
        <f t="shared" ref="K12:O12" si="7">SUM(K8:K11)</f>
        <v>0</v>
      </c>
      <c r="L12" s="8">
        <f t="shared" si="7"/>
        <v>0</v>
      </c>
      <c r="M12" s="8">
        <f t="shared" si="7"/>
        <v>0</v>
      </c>
      <c r="N12" s="8">
        <f t="shared" si="7"/>
        <v>0</v>
      </c>
      <c r="O12" s="68">
        <f t="shared" si="7"/>
        <v>4338.75</v>
      </c>
      <c r="P12" s="7" t="s">
        <v>19</v>
      </c>
      <c r="R12" s="21">
        <v>4774.4166666666697</v>
      </c>
      <c r="S12" s="39">
        <v>4570</v>
      </c>
      <c r="T12" s="39">
        <v>3946.083333333333</v>
      </c>
      <c r="U12" s="39">
        <v>3876</v>
      </c>
      <c r="V12" s="40">
        <v>3872.3333333333335</v>
      </c>
      <c r="W12" s="40">
        <v>3747.7499999999995</v>
      </c>
      <c r="X12" s="21">
        <f>SUM(X8:X11)</f>
        <v>4118.25</v>
      </c>
      <c r="Y12" s="21">
        <f>SUM(Y8:Y11)</f>
        <v>3372</v>
      </c>
      <c r="Z12" s="21">
        <v>4115.166666666667</v>
      </c>
      <c r="AA12" s="39">
        <f>SUM(AA8:AA11)</f>
        <v>5807.8333333333339</v>
      </c>
      <c r="AB12" s="40">
        <f>SUM(AB8:AB11)</f>
        <v>5058.8333333333339</v>
      </c>
      <c r="AC12" s="40">
        <f>SUM(AC8:AC11)</f>
        <v>4559.25</v>
      </c>
      <c r="AD12" s="74">
        <f>SUM(AD8:AD11)</f>
        <v>4338.75</v>
      </c>
      <c r="AE12" s="41"/>
      <c r="AF12" s="41"/>
      <c r="AG12" s="41"/>
      <c r="AH12" s="41"/>
      <c r="AI12" s="42"/>
      <c r="AJ12" s="47"/>
      <c r="AK12" s="47"/>
    </row>
    <row r="13" spans="1:44" x14ac:dyDescent="0.25">
      <c r="A13" s="35" t="s">
        <v>22</v>
      </c>
      <c r="B13" s="35" t="s">
        <v>90</v>
      </c>
      <c r="C13" s="57">
        <v>2456</v>
      </c>
      <c r="D13" s="4">
        <v>2438</v>
      </c>
      <c r="E13" s="4">
        <v>3017</v>
      </c>
      <c r="F13" s="59">
        <v>2365</v>
      </c>
      <c r="G13" s="4"/>
      <c r="H13" s="59"/>
      <c r="I13" s="59"/>
      <c r="J13" s="59"/>
      <c r="K13" s="80"/>
      <c r="L13" s="4"/>
      <c r="M13" s="4"/>
      <c r="N13" s="4"/>
      <c r="O13" s="87">
        <f>AVERAGE(C13:N13)</f>
        <v>2569</v>
      </c>
      <c r="P13" t="s">
        <v>22</v>
      </c>
      <c r="R13" s="20">
        <v>2358.0833333333335</v>
      </c>
      <c r="S13" s="20">
        <v>1876</v>
      </c>
      <c r="T13" s="20">
        <v>1773</v>
      </c>
      <c r="U13" s="20">
        <v>1609</v>
      </c>
      <c r="V13" s="20">
        <v>1732.0833333333333</v>
      </c>
      <c r="W13" s="20">
        <v>1822.4166666666667</v>
      </c>
      <c r="X13" s="20">
        <v>1867.25</v>
      </c>
      <c r="Y13" s="20">
        <v>1784</v>
      </c>
      <c r="Z13" s="20">
        <v>2243.5833333333335</v>
      </c>
      <c r="AA13" s="20">
        <v>3540.25</v>
      </c>
      <c r="AB13" s="20">
        <v>2695</v>
      </c>
      <c r="AC13" s="70">
        <v>2555.5</v>
      </c>
      <c r="AD13" s="73">
        <f>O13</f>
        <v>2569</v>
      </c>
      <c r="AE13" s="23">
        <v>8.6999999999999993</v>
      </c>
      <c r="AF13" s="23">
        <f>+R13*AE13</f>
        <v>20515.325000000001</v>
      </c>
      <c r="AG13" s="23">
        <f>+S13*AE13</f>
        <v>16321.199999999999</v>
      </c>
      <c r="AH13" s="23">
        <f>+T13*AE13</f>
        <v>15425.099999999999</v>
      </c>
      <c r="AI13" s="24">
        <f>+U13*AE13</f>
        <v>13998.3</v>
      </c>
      <c r="AJ13" s="24">
        <f>+V13*AE13</f>
        <v>15069.124999999998</v>
      </c>
      <c r="AK13" s="24">
        <f>+W13*AE13</f>
        <v>15855.025</v>
      </c>
      <c r="AL13" s="24">
        <f>+X13*AE13</f>
        <v>16245.074999999999</v>
      </c>
      <c r="AM13" s="24">
        <f>+Y13*AE13</f>
        <v>15520.8</v>
      </c>
      <c r="AN13" s="24">
        <f>+Z13*AE13</f>
        <v>19519.174999999999</v>
      </c>
      <c r="AO13" s="24">
        <f>+AA13*AE13</f>
        <v>30800.174999999999</v>
      </c>
      <c r="AP13" s="24">
        <f>+AB13*AE13</f>
        <v>23446.499999999996</v>
      </c>
      <c r="AQ13" s="24">
        <f t="shared" si="2"/>
        <v>22232.85</v>
      </c>
      <c r="AR13" s="24">
        <f t="shared" si="1"/>
        <v>22350.3</v>
      </c>
    </row>
    <row r="14" spans="1:44" x14ac:dyDescent="0.25">
      <c r="A14" s="35" t="s">
        <v>120</v>
      </c>
      <c r="B14" s="35" t="s">
        <v>121</v>
      </c>
      <c r="C14" s="38">
        <v>12415</v>
      </c>
      <c r="D14" s="4">
        <v>12308</v>
      </c>
      <c r="E14" s="4">
        <v>12392</v>
      </c>
      <c r="F14" s="59">
        <v>11874</v>
      </c>
      <c r="G14" s="4"/>
      <c r="H14" s="59"/>
      <c r="I14" s="59"/>
      <c r="J14" s="59"/>
      <c r="K14" s="59"/>
      <c r="L14" s="4"/>
      <c r="M14" s="4"/>
      <c r="N14" s="4"/>
      <c r="O14" s="87">
        <f>AVERAGE(C14:N14)</f>
        <v>12247.25</v>
      </c>
      <c r="P14" t="s">
        <v>27</v>
      </c>
      <c r="R14" s="20">
        <v>12427.333333333334</v>
      </c>
      <c r="S14" s="20">
        <v>11450</v>
      </c>
      <c r="T14" s="20">
        <v>10878</v>
      </c>
      <c r="U14" s="20">
        <v>10156</v>
      </c>
      <c r="V14" s="20">
        <v>9431</v>
      </c>
      <c r="W14" s="20">
        <v>8906.0833333333339</v>
      </c>
      <c r="X14" s="20">
        <v>9067.0833333333339</v>
      </c>
      <c r="Y14" s="20">
        <v>8443</v>
      </c>
      <c r="Z14" s="20">
        <v>8476.8333333333339</v>
      </c>
      <c r="AA14" s="20">
        <v>12424.416666666666</v>
      </c>
      <c r="AB14" s="20">
        <v>11948.75</v>
      </c>
      <c r="AC14" s="70">
        <v>11496</v>
      </c>
      <c r="AD14" s="73">
        <f>O14</f>
        <v>12247.25</v>
      </c>
      <c r="AE14" s="23">
        <v>5.62</v>
      </c>
      <c r="AF14" s="23">
        <f>+R14*AE14</f>
        <v>69841.613333333342</v>
      </c>
      <c r="AG14" s="23">
        <f>+S14*AE14</f>
        <v>64349</v>
      </c>
      <c r="AH14" s="23">
        <f>+T14*AE14</f>
        <v>61134.36</v>
      </c>
      <c r="AI14" s="24">
        <f>+U14*AE14</f>
        <v>57076.72</v>
      </c>
      <c r="AJ14" s="24">
        <f>+V14*AE14</f>
        <v>53002.22</v>
      </c>
      <c r="AK14" s="24">
        <f>+W14*AE14</f>
        <v>50052.188333333339</v>
      </c>
      <c r="AL14" s="24">
        <f>+X14*AE14</f>
        <v>50957.008333333339</v>
      </c>
      <c r="AM14" s="24">
        <f>+Y14*AE14</f>
        <v>47449.66</v>
      </c>
      <c r="AN14" s="24">
        <f>+Z14*AE14</f>
        <v>47639.803333333337</v>
      </c>
      <c r="AO14" s="24">
        <f>+AA14*AE14</f>
        <v>69825.221666666665</v>
      </c>
      <c r="AP14" s="24">
        <f>+AB14*AE14</f>
        <v>67151.975000000006</v>
      </c>
      <c r="AQ14" s="24">
        <f t="shared" si="2"/>
        <v>64607.520000000004</v>
      </c>
      <c r="AR14" s="24">
        <f t="shared" si="1"/>
        <v>68829.544999999998</v>
      </c>
    </row>
    <row r="15" spans="1:44" x14ac:dyDescent="0.25">
      <c r="A15" s="35" t="s">
        <v>51</v>
      </c>
      <c r="B15" s="35" t="s">
        <v>119</v>
      </c>
      <c r="C15" s="57">
        <v>201</v>
      </c>
      <c r="D15" s="59">
        <f>325+140+15+5</f>
        <v>485</v>
      </c>
      <c r="E15" s="60">
        <v>634</v>
      </c>
      <c r="F15" s="60">
        <v>263</v>
      </c>
      <c r="G15" s="12"/>
      <c r="H15" s="60"/>
      <c r="I15" s="66"/>
      <c r="J15" s="60"/>
      <c r="K15" s="66"/>
      <c r="L15" s="13"/>
      <c r="M15" s="12"/>
      <c r="N15" s="13"/>
      <c r="O15" s="86">
        <f>AVERAGE(C15:N15)</f>
        <v>395.75</v>
      </c>
      <c r="P15" t="s">
        <v>51</v>
      </c>
      <c r="R15" s="20">
        <v>387.41666666666669</v>
      </c>
      <c r="S15" s="20">
        <v>325</v>
      </c>
      <c r="T15" s="20">
        <v>278.41666666666669</v>
      </c>
      <c r="U15" s="20">
        <v>374</v>
      </c>
      <c r="V15" s="20">
        <v>334.25</v>
      </c>
      <c r="W15" s="20">
        <v>377.5</v>
      </c>
      <c r="X15" s="20">
        <v>374.16666666666669</v>
      </c>
      <c r="Y15" s="20">
        <v>296</v>
      </c>
      <c r="Z15" s="20">
        <v>383.08333333333331</v>
      </c>
      <c r="AA15" s="20">
        <v>446.33333333333331</v>
      </c>
      <c r="AB15" s="20">
        <v>394.58333333333331</v>
      </c>
      <c r="AC15" s="70">
        <v>404.41666666666669</v>
      </c>
      <c r="AD15" s="73">
        <f>O15</f>
        <v>395.75</v>
      </c>
      <c r="AE15" s="23">
        <v>6.26</v>
      </c>
      <c r="AF15" s="23">
        <f>+R15*AE15</f>
        <v>2425.2283333333335</v>
      </c>
      <c r="AG15" s="23">
        <f>+S15*AE15</f>
        <v>2034.5</v>
      </c>
      <c r="AH15" s="23">
        <f>+T15*AE15</f>
        <v>1742.8883333333333</v>
      </c>
      <c r="AI15" s="24">
        <f>+U15*AE15</f>
        <v>2341.2399999999998</v>
      </c>
      <c r="AJ15" s="24">
        <f>+V15*AE15</f>
        <v>2092.4049999999997</v>
      </c>
      <c r="AK15" s="24">
        <f>+W15*AE15</f>
        <v>2363.15</v>
      </c>
      <c r="AL15" s="24">
        <f>+X15*AE15</f>
        <v>2342.2833333333333</v>
      </c>
      <c r="AM15" s="24">
        <f>+Y15*AE15</f>
        <v>1852.96</v>
      </c>
      <c r="AN15" s="24">
        <f>+Z15*AE15</f>
        <v>2398.1016666666665</v>
      </c>
      <c r="AO15" s="24">
        <f>+AA15*AE15</f>
        <v>2794.0466666666666</v>
      </c>
      <c r="AP15" s="24">
        <f>+AB15*AE15</f>
        <v>2470.0916666666662</v>
      </c>
      <c r="AQ15" s="24">
        <f t="shared" si="2"/>
        <v>2531.6483333333335</v>
      </c>
      <c r="AR15" s="24">
        <f t="shared" si="1"/>
        <v>2477.395</v>
      </c>
    </row>
    <row r="16" spans="1:44" x14ac:dyDescent="0.25">
      <c r="A16" s="35" t="s">
        <v>100</v>
      </c>
      <c r="B16" s="35" t="s">
        <v>90</v>
      </c>
      <c r="C16" s="57">
        <v>13</v>
      </c>
      <c r="D16" s="59">
        <f>24+54</f>
        <v>78</v>
      </c>
      <c r="E16" s="60">
        <v>52</v>
      </c>
      <c r="F16" s="60">
        <v>208</v>
      </c>
      <c r="G16" s="12"/>
      <c r="H16" s="60"/>
      <c r="I16" s="66"/>
      <c r="J16" s="60"/>
      <c r="K16" s="66"/>
      <c r="L16" s="13"/>
      <c r="M16" s="12"/>
      <c r="N16" s="13"/>
      <c r="O16" s="95">
        <f>AVERAGE(C16:N16)</f>
        <v>87.75</v>
      </c>
      <c r="P16" t="s">
        <v>100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59.666666666666664</v>
      </c>
      <c r="AA16" s="20">
        <v>22.833333333333332</v>
      </c>
      <c r="AB16" s="20">
        <v>0</v>
      </c>
      <c r="AC16" s="70">
        <v>50.166666666666664</v>
      </c>
      <c r="AD16" s="73">
        <f>O16</f>
        <v>87.75</v>
      </c>
      <c r="AE16" s="23">
        <v>11.74</v>
      </c>
      <c r="AF16" s="23">
        <f>+R16*AE16</f>
        <v>0</v>
      </c>
      <c r="AG16" s="23">
        <f>+S16*AE16</f>
        <v>0</v>
      </c>
      <c r="AH16" s="23">
        <f>+T16*AE16</f>
        <v>0</v>
      </c>
      <c r="AI16" s="24">
        <f>+U16*AE16</f>
        <v>0</v>
      </c>
      <c r="AJ16" s="24">
        <f>+V16*AE16</f>
        <v>0</v>
      </c>
      <c r="AK16" s="24">
        <f>+W16*AE16</f>
        <v>0</v>
      </c>
      <c r="AL16" s="24">
        <f>+X16*AE16</f>
        <v>0</v>
      </c>
      <c r="AM16" s="24">
        <f>+Y16*AE16</f>
        <v>0</v>
      </c>
      <c r="AN16" s="24">
        <f>+Z16*AE16</f>
        <v>700.48666666666668</v>
      </c>
      <c r="AO16" s="24">
        <f>+AA16*AE16</f>
        <v>268.06333333333333</v>
      </c>
      <c r="AP16" s="24">
        <f>+AB16*AE16</f>
        <v>0</v>
      </c>
      <c r="AQ16" s="24">
        <f t="shared" si="2"/>
        <v>588.95666666666671</v>
      </c>
      <c r="AR16" s="24">
        <f t="shared" si="1"/>
        <v>1030.1849999999999</v>
      </c>
    </row>
    <row r="17" spans="1:44" s="53" customFormat="1" x14ac:dyDescent="0.25">
      <c r="A17" s="52" t="s">
        <v>88</v>
      </c>
      <c r="B17" s="52"/>
      <c r="C17" s="58">
        <f t="shared" ref="C17:I17" si="8">SUM(C13:C16)</f>
        <v>15085</v>
      </c>
      <c r="D17" s="93">
        <f>SUM(D13:D16)</f>
        <v>15309</v>
      </c>
      <c r="E17" s="58">
        <f>SUM(E13:E16)</f>
        <v>16095</v>
      </c>
      <c r="F17" s="58">
        <f t="shared" si="8"/>
        <v>14710</v>
      </c>
      <c r="G17" s="8">
        <f t="shared" si="8"/>
        <v>0</v>
      </c>
      <c r="H17" s="62">
        <f>SUM(H13:H16)</f>
        <v>0</v>
      </c>
      <c r="I17" s="62">
        <f t="shared" si="8"/>
        <v>0</v>
      </c>
      <c r="J17" s="81">
        <f>SUM(J13:J16)</f>
        <v>0</v>
      </c>
      <c r="K17" s="62">
        <f t="shared" ref="K17:N17" si="9">SUM(K13:K16)</f>
        <v>0</v>
      </c>
      <c r="L17" s="8">
        <f t="shared" si="9"/>
        <v>0</v>
      </c>
      <c r="M17" s="8">
        <f t="shared" si="9"/>
        <v>0</v>
      </c>
      <c r="N17" s="8">
        <f t="shared" si="9"/>
        <v>0</v>
      </c>
      <c r="O17" s="87">
        <f>SUM(O13:O16)</f>
        <v>15299.75</v>
      </c>
      <c r="P17" s="52" t="s">
        <v>88</v>
      </c>
      <c r="R17" s="21">
        <f>SUM(R13:R15)</f>
        <v>15172.833333333334</v>
      </c>
      <c r="S17" s="21">
        <f>SUM(S13:S15)</f>
        <v>13651</v>
      </c>
      <c r="T17" s="21">
        <f t="shared" ref="T17:W17" si="10">SUM(T13:T15)</f>
        <v>12929.416666666666</v>
      </c>
      <c r="U17" s="21">
        <f t="shared" si="10"/>
        <v>12139</v>
      </c>
      <c r="V17" s="21">
        <f t="shared" si="10"/>
        <v>11497.333333333334</v>
      </c>
      <c r="W17" s="21">
        <f t="shared" si="10"/>
        <v>11106</v>
      </c>
      <c r="X17" s="21">
        <f t="shared" ref="X17:AD17" si="11">SUM(X13:X16)</f>
        <v>11308.5</v>
      </c>
      <c r="Y17" s="21">
        <f t="shared" si="11"/>
        <v>10523</v>
      </c>
      <c r="Z17" s="21">
        <f t="shared" si="11"/>
        <v>11163.166666666668</v>
      </c>
      <c r="AA17" s="21">
        <f t="shared" si="11"/>
        <v>16433.833333333332</v>
      </c>
      <c r="AB17" s="40">
        <f t="shared" si="11"/>
        <v>15038.333333333334</v>
      </c>
      <c r="AC17" s="40">
        <f t="shared" si="11"/>
        <v>14506.083333333332</v>
      </c>
      <c r="AD17" s="74">
        <f t="shared" si="11"/>
        <v>15299.75</v>
      </c>
      <c r="AE17" s="41"/>
      <c r="AF17" s="41"/>
      <c r="AG17" s="41"/>
      <c r="AH17" s="41"/>
      <c r="AI17" s="42"/>
      <c r="AJ17" s="42"/>
      <c r="AK17" s="42"/>
      <c r="AO17" s="7"/>
    </row>
    <row r="18" spans="1:44" x14ac:dyDescent="0.25">
      <c r="A18" s="32" t="s">
        <v>14</v>
      </c>
      <c r="B18" s="32">
        <v>17</v>
      </c>
      <c r="C18" s="56">
        <v>10079</v>
      </c>
      <c r="D18" s="4">
        <v>17233</v>
      </c>
      <c r="E18" s="4">
        <v>13978</v>
      </c>
      <c r="F18" s="59">
        <v>14878</v>
      </c>
      <c r="G18" s="4"/>
      <c r="H18" s="59"/>
      <c r="I18" s="59"/>
      <c r="J18" s="59"/>
      <c r="K18" s="80"/>
      <c r="L18" s="4"/>
      <c r="M18" s="4"/>
      <c r="N18" s="54"/>
      <c r="O18" s="85">
        <f>AVERAGE(C18:N18)</f>
        <v>14042</v>
      </c>
      <c r="P18" t="s">
        <v>14</v>
      </c>
      <c r="R18" s="20">
        <v>7039.083333333333</v>
      </c>
      <c r="S18" s="20">
        <v>6531</v>
      </c>
      <c r="T18" s="20">
        <v>6154.25</v>
      </c>
      <c r="U18" s="20">
        <v>6348</v>
      </c>
      <c r="V18" s="20">
        <v>6999.583333333333</v>
      </c>
      <c r="W18" s="20">
        <v>7504.083333333333</v>
      </c>
      <c r="X18" s="20">
        <v>8262.3333333333339</v>
      </c>
      <c r="Y18" s="20">
        <v>7877.75</v>
      </c>
      <c r="Z18" s="20">
        <v>9077.4166666666661</v>
      </c>
      <c r="AA18" s="20">
        <v>10322.333333333334</v>
      </c>
      <c r="AB18" s="20">
        <v>11867.5</v>
      </c>
      <c r="AC18" s="70">
        <v>14063.25</v>
      </c>
      <c r="AD18" s="73">
        <f t="shared" ref="AD18:AD51" si="12">O18</f>
        <v>14042</v>
      </c>
      <c r="AE18" s="23">
        <v>12.05</v>
      </c>
      <c r="AF18" s="23">
        <f t="shared" ref="AF18:AF51" si="13">+R18*AE18</f>
        <v>84820.954166666663</v>
      </c>
      <c r="AG18" s="23">
        <f t="shared" ref="AG18:AG51" si="14">+S18*AE18</f>
        <v>78698.55</v>
      </c>
      <c r="AH18" s="23">
        <f t="shared" ref="AH18:AH51" si="15">+T18*AE18</f>
        <v>74158.712500000009</v>
      </c>
      <c r="AI18" s="24">
        <f t="shared" ref="AI18:AI51" si="16">+U18*AE18</f>
        <v>76493.400000000009</v>
      </c>
      <c r="AJ18" s="24">
        <f t="shared" ref="AJ18:AJ51" si="17">+V18*AE18</f>
        <v>84344.979166666672</v>
      </c>
      <c r="AK18" s="24">
        <f t="shared" ref="AK18:AK51" si="18">+W18*AE18</f>
        <v>90424.204166666663</v>
      </c>
      <c r="AL18" s="24">
        <f t="shared" ref="AL18:AL51" si="19">+X18*AE18</f>
        <v>99561.116666666683</v>
      </c>
      <c r="AM18" s="24">
        <f t="shared" ref="AM18:AM51" si="20">+Y18*AE18</f>
        <v>94926.887500000012</v>
      </c>
      <c r="AN18" s="24">
        <f t="shared" ref="AN18:AN51" si="21">+Z18*AE18</f>
        <v>109382.87083333333</v>
      </c>
      <c r="AO18" s="24">
        <f t="shared" ref="AO18:AO51" si="22">+AA18*AE18</f>
        <v>124384.11666666668</v>
      </c>
      <c r="AP18" s="24">
        <f t="shared" ref="AP18:AP51" si="23">+AB18*AE18</f>
        <v>143003.375</v>
      </c>
      <c r="AQ18" s="24">
        <f t="shared" si="2"/>
        <v>169462.16250000001</v>
      </c>
      <c r="AR18" s="24">
        <f t="shared" si="1"/>
        <v>169206.1</v>
      </c>
    </row>
    <row r="19" spans="1:44" x14ac:dyDescent="0.25">
      <c r="A19" s="32" t="s">
        <v>21</v>
      </c>
      <c r="B19" s="32">
        <v>18</v>
      </c>
      <c r="C19" s="57">
        <v>2055</v>
      </c>
      <c r="D19" s="4">
        <v>2647</v>
      </c>
      <c r="E19" s="4">
        <v>2735</v>
      </c>
      <c r="F19" s="59">
        <v>1997</v>
      </c>
      <c r="G19" s="4"/>
      <c r="H19" s="59"/>
      <c r="I19" s="59"/>
      <c r="J19" s="80"/>
      <c r="K19" s="59"/>
      <c r="L19" s="4"/>
      <c r="M19" s="4"/>
      <c r="N19" s="4"/>
      <c r="O19" s="85">
        <f>AVERAGE(C19:N19)</f>
        <v>2358.5</v>
      </c>
      <c r="P19" t="s">
        <v>21</v>
      </c>
      <c r="R19" s="20">
        <v>2072.3333333333335</v>
      </c>
      <c r="S19" s="20">
        <v>1714</v>
      </c>
      <c r="T19" s="20">
        <v>1616</v>
      </c>
      <c r="U19" s="20">
        <v>1734</v>
      </c>
      <c r="V19" s="20">
        <v>1746.6666666666667</v>
      </c>
      <c r="W19" s="20">
        <v>1888.5833333333333</v>
      </c>
      <c r="X19" s="20">
        <v>2009.75</v>
      </c>
      <c r="Y19" s="20">
        <v>1845.0833333333333</v>
      </c>
      <c r="Z19" s="20">
        <v>2166.9166666666665</v>
      </c>
      <c r="AA19" s="20">
        <v>2629.4166666666665</v>
      </c>
      <c r="AB19" s="20">
        <v>2801.8333333333335</v>
      </c>
      <c r="AC19" s="70">
        <v>2708.5</v>
      </c>
      <c r="AD19" s="73">
        <f t="shared" si="12"/>
        <v>2358.5</v>
      </c>
      <c r="AE19" s="23">
        <v>16.3</v>
      </c>
      <c r="AF19" s="23">
        <f t="shared" si="13"/>
        <v>33779.03333333334</v>
      </c>
      <c r="AG19" s="23">
        <f t="shared" si="14"/>
        <v>27938.2</v>
      </c>
      <c r="AH19" s="23">
        <f t="shared" si="15"/>
        <v>26340.800000000003</v>
      </c>
      <c r="AI19" s="24">
        <f t="shared" si="16"/>
        <v>28264.2</v>
      </c>
      <c r="AJ19" s="24">
        <f t="shared" si="17"/>
        <v>28470.666666666668</v>
      </c>
      <c r="AK19" s="24">
        <f t="shared" si="18"/>
        <v>30783.908333333333</v>
      </c>
      <c r="AL19" s="24">
        <f t="shared" si="19"/>
        <v>32758.925000000003</v>
      </c>
      <c r="AM19" s="24">
        <f t="shared" si="20"/>
        <v>30074.858333333334</v>
      </c>
      <c r="AN19" s="24">
        <f t="shared" si="21"/>
        <v>35320.741666666669</v>
      </c>
      <c r="AO19" s="24">
        <f t="shared" si="22"/>
        <v>42859.491666666669</v>
      </c>
      <c r="AP19" s="24">
        <f t="shared" si="23"/>
        <v>45669.883333333339</v>
      </c>
      <c r="AQ19" s="24">
        <f t="shared" si="2"/>
        <v>44148.55</v>
      </c>
      <c r="AR19" s="24">
        <f t="shared" si="1"/>
        <v>38443.550000000003</v>
      </c>
    </row>
    <row r="20" spans="1:44" x14ac:dyDescent="0.25">
      <c r="A20" s="32" t="s">
        <v>109</v>
      </c>
      <c r="B20" s="32">
        <v>19</v>
      </c>
      <c r="C20" s="57">
        <v>291</v>
      </c>
      <c r="D20" s="4">
        <v>348</v>
      </c>
      <c r="E20" s="4">
        <v>502</v>
      </c>
      <c r="F20" s="59">
        <v>145</v>
      </c>
      <c r="G20" s="4"/>
      <c r="H20" s="59"/>
      <c r="I20" s="59"/>
      <c r="J20" s="59"/>
      <c r="K20" s="59"/>
      <c r="L20" s="4"/>
      <c r="M20" s="4"/>
      <c r="N20" s="4"/>
      <c r="O20" s="68">
        <f>AVERAGE(C20:N20)</f>
        <v>321.5</v>
      </c>
      <c r="P20" t="s">
        <v>73</v>
      </c>
      <c r="R20" s="20">
        <v>167</v>
      </c>
      <c r="S20" s="20">
        <v>148</v>
      </c>
      <c r="T20" s="20">
        <v>140.5</v>
      </c>
      <c r="U20" s="20">
        <v>168</v>
      </c>
      <c r="V20" s="20">
        <v>192.16666666666666</v>
      </c>
      <c r="W20" s="20">
        <v>224.58333333333334</v>
      </c>
      <c r="X20" s="20">
        <v>235.16666666666666</v>
      </c>
      <c r="Y20" s="20">
        <v>246.83333333333334</v>
      </c>
      <c r="Z20" s="20">
        <v>340.83333333333331</v>
      </c>
      <c r="AA20" s="20">
        <v>338.16666666666669</v>
      </c>
      <c r="AB20" s="20">
        <v>369.66666666666669</v>
      </c>
      <c r="AC20" s="70">
        <v>389.5</v>
      </c>
      <c r="AD20" s="73">
        <f t="shared" si="12"/>
        <v>321.5</v>
      </c>
      <c r="AE20" s="23">
        <v>25.1</v>
      </c>
      <c r="AF20" s="23">
        <f t="shared" si="13"/>
        <v>4191.7</v>
      </c>
      <c r="AG20" s="23">
        <f t="shared" si="14"/>
        <v>3714.8</v>
      </c>
      <c r="AH20" s="23">
        <f t="shared" si="15"/>
        <v>3526.55</v>
      </c>
      <c r="AI20" s="24">
        <f t="shared" si="16"/>
        <v>4216.8</v>
      </c>
      <c r="AJ20" s="24">
        <f t="shared" si="17"/>
        <v>4823.3833333333332</v>
      </c>
      <c r="AK20" s="24">
        <f t="shared" si="18"/>
        <v>5637.041666666667</v>
      </c>
      <c r="AL20" s="24">
        <f t="shared" si="19"/>
        <v>5902.6833333333334</v>
      </c>
      <c r="AM20" s="24">
        <f t="shared" si="20"/>
        <v>6195.5166666666673</v>
      </c>
      <c r="AN20" s="24">
        <f t="shared" si="21"/>
        <v>8554.9166666666661</v>
      </c>
      <c r="AO20" s="24">
        <f t="shared" si="22"/>
        <v>8487.9833333333336</v>
      </c>
      <c r="AP20" s="24">
        <f t="shared" si="23"/>
        <v>9278.633333333335</v>
      </c>
      <c r="AQ20" s="24">
        <f t="shared" si="2"/>
        <v>9776.4500000000007</v>
      </c>
      <c r="AR20" s="24">
        <f t="shared" si="1"/>
        <v>8069.6500000000005</v>
      </c>
    </row>
    <row r="21" spans="1:44" x14ac:dyDescent="0.25">
      <c r="A21" s="32" t="s">
        <v>23</v>
      </c>
      <c r="B21" s="32">
        <v>23</v>
      </c>
      <c r="C21" s="57">
        <v>379</v>
      </c>
      <c r="D21" s="4">
        <v>399</v>
      </c>
      <c r="E21" s="4">
        <v>432</v>
      </c>
      <c r="F21" s="59">
        <v>301</v>
      </c>
      <c r="G21" s="4"/>
      <c r="H21" s="59"/>
      <c r="I21" s="59"/>
      <c r="J21" s="59"/>
      <c r="K21" s="59"/>
      <c r="L21" s="4"/>
      <c r="M21" s="4"/>
      <c r="N21" s="4"/>
      <c r="O21" s="68">
        <f t="shared" si="0"/>
        <v>377.75</v>
      </c>
      <c r="P21" t="s">
        <v>23</v>
      </c>
      <c r="R21" s="20">
        <v>725.66666666666663</v>
      </c>
      <c r="S21" s="20">
        <v>636</v>
      </c>
      <c r="T21" s="20">
        <v>612.25</v>
      </c>
      <c r="U21" s="20">
        <v>631</v>
      </c>
      <c r="V21" s="20">
        <v>602.5</v>
      </c>
      <c r="W21" s="20">
        <v>574.75</v>
      </c>
      <c r="X21" s="20">
        <v>589.5</v>
      </c>
      <c r="Y21" s="20">
        <v>523</v>
      </c>
      <c r="Z21" s="20">
        <v>520.58333333333337</v>
      </c>
      <c r="AA21" s="20">
        <v>486.5</v>
      </c>
      <c r="AB21" s="20">
        <v>514.91666666666663</v>
      </c>
      <c r="AC21" s="70">
        <v>468.83333333333331</v>
      </c>
      <c r="AD21" s="73">
        <f t="shared" si="12"/>
        <v>377.75</v>
      </c>
      <c r="AE21" s="23">
        <v>64.400000000000006</v>
      </c>
      <c r="AF21" s="23">
        <f t="shared" si="13"/>
        <v>46732.933333333334</v>
      </c>
      <c r="AG21" s="23">
        <f t="shared" si="14"/>
        <v>40958.400000000001</v>
      </c>
      <c r="AH21" s="23">
        <f t="shared" si="15"/>
        <v>39428.9</v>
      </c>
      <c r="AI21" s="24">
        <f t="shared" si="16"/>
        <v>40636.400000000001</v>
      </c>
      <c r="AJ21" s="24">
        <f t="shared" si="17"/>
        <v>38801</v>
      </c>
      <c r="AK21" s="24">
        <f t="shared" si="18"/>
        <v>37013.9</v>
      </c>
      <c r="AL21" s="24">
        <f t="shared" si="19"/>
        <v>37963.800000000003</v>
      </c>
      <c r="AM21" s="24">
        <f t="shared" si="20"/>
        <v>33681.200000000004</v>
      </c>
      <c r="AN21" s="24">
        <f t="shared" si="21"/>
        <v>33525.566666666673</v>
      </c>
      <c r="AO21" s="24">
        <f t="shared" si="22"/>
        <v>31330.600000000002</v>
      </c>
      <c r="AP21" s="24">
        <f t="shared" si="23"/>
        <v>33160.633333333331</v>
      </c>
      <c r="AQ21" s="24">
        <f t="shared" si="2"/>
        <v>30192.866666666669</v>
      </c>
      <c r="AR21" s="24">
        <f t="shared" si="1"/>
        <v>24327.100000000002</v>
      </c>
    </row>
    <row r="22" spans="1:44" x14ac:dyDescent="0.25">
      <c r="A22" s="32" t="s">
        <v>25</v>
      </c>
      <c r="B22" s="32">
        <v>7</v>
      </c>
      <c r="C22" s="57">
        <v>325</v>
      </c>
      <c r="D22" s="4">
        <v>418</v>
      </c>
      <c r="E22" s="4">
        <v>554</v>
      </c>
      <c r="F22" s="59">
        <v>430</v>
      </c>
      <c r="G22" s="4"/>
      <c r="H22" s="59"/>
      <c r="I22" s="59"/>
      <c r="J22" s="59"/>
      <c r="K22" s="59"/>
      <c r="L22" s="4"/>
      <c r="M22" s="4"/>
      <c r="N22" s="4"/>
      <c r="O22" s="68">
        <f t="shared" si="0"/>
        <v>431.75</v>
      </c>
      <c r="P22" t="s">
        <v>25</v>
      </c>
      <c r="R22" s="20">
        <v>822.66666666666663</v>
      </c>
      <c r="S22" s="20">
        <v>581</v>
      </c>
      <c r="T22" s="20">
        <v>529.91666666666663</v>
      </c>
      <c r="U22" s="20">
        <v>541</v>
      </c>
      <c r="V22" s="20">
        <v>598.58333333333337</v>
      </c>
      <c r="W22" s="20">
        <v>512.5</v>
      </c>
      <c r="X22" s="20">
        <v>518</v>
      </c>
      <c r="Y22" s="20">
        <v>457</v>
      </c>
      <c r="Z22" s="20">
        <v>457.33333333333331</v>
      </c>
      <c r="AA22" s="20">
        <v>463.25</v>
      </c>
      <c r="AB22" s="20">
        <v>455.91666666666669</v>
      </c>
      <c r="AC22" s="70">
        <v>437.58333333333331</v>
      </c>
      <c r="AD22" s="73">
        <f t="shared" si="12"/>
        <v>431.75</v>
      </c>
      <c r="AE22" s="23">
        <v>12.3</v>
      </c>
      <c r="AF22" s="23">
        <f t="shared" si="13"/>
        <v>10118.799999999999</v>
      </c>
      <c r="AG22" s="23">
        <f t="shared" si="14"/>
        <v>7146.3</v>
      </c>
      <c r="AH22" s="23">
        <f t="shared" si="15"/>
        <v>6517.9750000000004</v>
      </c>
      <c r="AI22" s="24">
        <f t="shared" si="16"/>
        <v>6654.3</v>
      </c>
      <c r="AJ22" s="24">
        <f t="shared" si="17"/>
        <v>7362.5750000000007</v>
      </c>
      <c r="AK22" s="24">
        <f t="shared" si="18"/>
        <v>6303.75</v>
      </c>
      <c r="AL22" s="24">
        <f t="shared" si="19"/>
        <v>6371.4000000000005</v>
      </c>
      <c r="AM22" s="24">
        <f t="shared" si="20"/>
        <v>5621.1</v>
      </c>
      <c r="AN22" s="24">
        <f t="shared" si="21"/>
        <v>5625.2</v>
      </c>
      <c r="AO22" s="24">
        <f t="shared" si="22"/>
        <v>5697.9750000000004</v>
      </c>
      <c r="AP22" s="24">
        <f t="shared" si="23"/>
        <v>5607.7750000000005</v>
      </c>
      <c r="AQ22" s="24">
        <f t="shared" si="2"/>
        <v>5382.2749999999996</v>
      </c>
      <c r="AR22" s="24">
        <f t="shared" si="1"/>
        <v>5310.5250000000005</v>
      </c>
    </row>
    <row r="23" spans="1:44" x14ac:dyDescent="0.25">
      <c r="A23" s="32" t="s">
        <v>26</v>
      </c>
      <c r="B23" s="32">
        <v>25</v>
      </c>
      <c r="C23" s="57">
        <v>2537</v>
      </c>
      <c r="D23" s="4">
        <v>2107</v>
      </c>
      <c r="E23" s="4">
        <v>2765</v>
      </c>
      <c r="F23" s="59">
        <v>1170</v>
      </c>
      <c r="G23" s="4"/>
      <c r="H23" s="59"/>
      <c r="I23" s="59"/>
      <c r="J23" s="59"/>
      <c r="K23" s="59"/>
      <c r="L23" s="4"/>
      <c r="M23" s="4"/>
      <c r="N23" s="4"/>
      <c r="O23" s="68">
        <f t="shared" si="0"/>
        <v>2144.75</v>
      </c>
      <c r="P23" t="s">
        <v>26</v>
      </c>
      <c r="R23" s="20">
        <v>4346.666666666667</v>
      </c>
      <c r="S23" s="20">
        <v>3425</v>
      </c>
      <c r="T23" s="20">
        <v>2879</v>
      </c>
      <c r="U23" s="20">
        <v>3042</v>
      </c>
      <c r="V23" s="20">
        <v>3227.5</v>
      </c>
      <c r="W23" s="20">
        <v>3258.5833333333335</v>
      </c>
      <c r="X23" s="20">
        <v>3419.9166666666665</v>
      </c>
      <c r="Y23" s="20">
        <v>3190.0833333333335</v>
      </c>
      <c r="Z23" s="20">
        <v>2866.4166666666665</v>
      </c>
      <c r="AA23" s="20">
        <v>3574</v>
      </c>
      <c r="AB23" s="20">
        <v>3101.1666666666665</v>
      </c>
      <c r="AC23" s="70">
        <v>3006.5</v>
      </c>
      <c r="AD23" s="73">
        <f t="shared" si="12"/>
        <v>2144.75</v>
      </c>
      <c r="AE23" s="23">
        <v>9.4</v>
      </c>
      <c r="AF23" s="23">
        <f t="shared" si="13"/>
        <v>40858.666666666672</v>
      </c>
      <c r="AG23" s="23">
        <f t="shared" si="14"/>
        <v>32195</v>
      </c>
      <c r="AH23" s="23">
        <f t="shared" si="15"/>
        <v>27062.600000000002</v>
      </c>
      <c r="AI23" s="24">
        <f t="shared" si="16"/>
        <v>28594.799999999999</v>
      </c>
      <c r="AJ23" s="24">
        <f t="shared" si="17"/>
        <v>30338.5</v>
      </c>
      <c r="AK23" s="24">
        <f t="shared" si="18"/>
        <v>30630.683333333334</v>
      </c>
      <c r="AL23" s="24">
        <f t="shared" si="19"/>
        <v>32147.216666666667</v>
      </c>
      <c r="AM23" s="24">
        <f t="shared" si="20"/>
        <v>29986.783333333336</v>
      </c>
      <c r="AN23" s="24">
        <f t="shared" si="21"/>
        <v>26944.316666666666</v>
      </c>
      <c r="AO23" s="24">
        <f t="shared" si="22"/>
        <v>33595.599999999999</v>
      </c>
      <c r="AP23" s="24">
        <f t="shared" si="23"/>
        <v>29150.966666666667</v>
      </c>
      <c r="AQ23" s="24">
        <f t="shared" si="2"/>
        <v>28261.100000000002</v>
      </c>
      <c r="AR23" s="24">
        <f t="shared" si="1"/>
        <v>20160.650000000001</v>
      </c>
    </row>
    <row r="24" spans="1:44" x14ac:dyDescent="0.25">
      <c r="A24" s="32" t="s">
        <v>28</v>
      </c>
      <c r="B24" s="32">
        <v>24</v>
      </c>
      <c r="C24" s="57">
        <v>38</v>
      </c>
      <c r="D24" s="4">
        <v>35</v>
      </c>
      <c r="E24" s="4">
        <v>149</v>
      </c>
      <c r="F24" s="59">
        <v>24</v>
      </c>
      <c r="G24" s="4"/>
      <c r="H24" s="59"/>
      <c r="I24" s="59"/>
      <c r="J24" s="59"/>
      <c r="K24" s="59"/>
      <c r="L24" s="4"/>
      <c r="M24" s="4"/>
      <c r="N24" s="4"/>
      <c r="O24" s="68">
        <f t="shared" si="0"/>
        <v>61.5</v>
      </c>
      <c r="P24" t="s">
        <v>28</v>
      </c>
      <c r="R24" s="20">
        <v>119.66666666666667</v>
      </c>
      <c r="S24" s="20">
        <v>103</v>
      </c>
      <c r="T24" s="20">
        <v>126.91666666666667</v>
      </c>
      <c r="U24" s="20">
        <v>130</v>
      </c>
      <c r="V24" s="20">
        <v>128.33333333333334</v>
      </c>
      <c r="W24" s="20">
        <v>115.66666666666667</v>
      </c>
      <c r="X24" s="20">
        <v>147.08333333333334</v>
      </c>
      <c r="Y24" s="20">
        <v>114.33333333333333</v>
      </c>
      <c r="Z24" s="20">
        <v>152.33333333333334</v>
      </c>
      <c r="AA24" s="20">
        <v>128.83333333333334</v>
      </c>
      <c r="AB24" s="20">
        <v>101.58333333333333</v>
      </c>
      <c r="AC24" s="70">
        <v>89.75</v>
      </c>
      <c r="AD24" s="73">
        <f t="shared" si="12"/>
        <v>61.5</v>
      </c>
      <c r="AE24" s="23">
        <v>39.14</v>
      </c>
      <c r="AF24" s="23">
        <f t="shared" si="13"/>
        <v>4683.753333333334</v>
      </c>
      <c r="AG24" s="23">
        <f t="shared" si="14"/>
        <v>4031.42</v>
      </c>
      <c r="AH24" s="23">
        <f t="shared" si="15"/>
        <v>4967.5183333333334</v>
      </c>
      <c r="AI24" s="24">
        <f t="shared" si="16"/>
        <v>5088.2</v>
      </c>
      <c r="AJ24" s="24">
        <f t="shared" si="17"/>
        <v>5022.9666666666672</v>
      </c>
      <c r="AK24" s="24">
        <f t="shared" si="18"/>
        <v>4527.1933333333336</v>
      </c>
      <c r="AL24" s="24">
        <f t="shared" si="19"/>
        <v>5756.8416666666672</v>
      </c>
      <c r="AM24" s="24">
        <f t="shared" si="20"/>
        <v>4475.0066666666662</v>
      </c>
      <c r="AN24" s="24">
        <f t="shared" si="21"/>
        <v>5962.3266666666668</v>
      </c>
      <c r="AO24" s="24">
        <f t="shared" si="22"/>
        <v>5042.5366666666669</v>
      </c>
      <c r="AP24" s="24">
        <f t="shared" si="23"/>
        <v>3975.9716666666664</v>
      </c>
      <c r="AQ24" s="24">
        <f t="shared" si="2"/>
        <v>3512.8150000000001</v>
      </c>
      <c r="AR24" s="24">
        <f t="shared" si="1"/>
        <v>2407.11</v>
      </c>
    </row>
    <row r="25" spans="1:44" x14ac:dyDescent="0.25">
      <c r="A25" s="77" t="s">
        <v>123</v>
      </c>
      <c r="B25" s="78" t="s">
        <v>77</v>
      </c>
      <c r="C25" s="57">
        <v>3535</v>
      </c>
      <c r="D25">
        <v>2969</v>
      </c>
      <c r="E25" s="4">
        <v>4267</v>
      </c>
      <c r="F25" s="96">
        <v>2780</v>
      </c>
      <c r="G25" s="91"/>
      <c r="H25" s="59"/>
      <c r="I25" s="59"/>
      <c r="J25" s="59"/>
      <c r="K25" s="59"/>
      <c r="L25" s="4"/>
      <c r="M25" s="4"/>
      <c r="N25" s="4"/>
      <c r="O25" s="68">
        <f t="shared" si="0"/>
        <v>3387.75</v>
      </c>
      <c r="P25" t="s">
        <v>122</v>
      </c>
      <c r="R25" s="20">
        <v>4560.75</v>
      </c>
      <c r="S25" s="20">
        <v>3734</v>
      </c>
      <c r="T25" s="20">
        <v>3313.25</v>
      </c>
      <c r="U25" s="20">
        <v>3297</v>
      </c>
      <c r="V25" s="20">
        <v>3566.25</v>
      </c>
      <c r="W25" s="20">
        <v>4277.833333333333</v>
      </c>
      <c r="X25" s="20">
        <v>4620.333333333333</v>
      </c>
      <c r="Y25" s="20">
        <v>3497.1666666666665</v>
      </c>
      <c r="Z25" s="20">
        <v>3690.8333333333335</v>
      </c>
      <c r="AA25" s="20">
        <v>4765.583333333333</v>
      </c>
      <c r="AB25" s="20">
        <v>3740.6666666666665</v>
      </c>
      <c r="AC25" s="70">
        <v>3538.5</v>
      </c>
      <c r="AD25" s="73">
        <f t="shared" si="12"/>
        <v>3387.75</v>
      </c>
      <c r="AE25" s="23">
        <v>3.05</v>
      </c>
      <c r="AF25" s="23">
        <f t="shared" si="13"/>
        <v>13910.287499999999</v>
      </c>
      <c r="AG25" s="23">
        <f t="shared" si="14"/>
        <v>11388.699999999999</v>
      </c>
      <c r="AH25" s="23">
        <f t="shared" si="15"/>
        <v>10105.412499999999</v>
      </c>
      <c r="AI25" s="24">
        <f t="shared" si="16"/>
        <v>10055.849999999999</v>
      </c>
      <c r="AJ25" s="24">
        <f t="shared" si="17"/>
        <v>10877.0625</v>
      </c>
      <c r="AK25" s="24">
        <f t="shared" si="18"/>
        <v>13047.391666666665</v>
      </c>
      <c r="AL25" s="24">
        <f t="shared" si="19"/>
        <v>14092.016666666665</v>
      </c>
      <c r="AM25" s="24">
        <f t="shared" si="20"/>
        <v>10666.358333333332</v>
      </c>
      <c r="AN25" s="24">
        <f t="shared" si="21"/>
        <v>11257.041666666666</v>
      </c>
      <c r="AO25" s="24">
        <f t="shared" si="22"/>
        <v>14535.029166666665</v>
      </c>
      <c r="AP25" s="24">
        <f t="shared" si="23"/>
        <v>11409.033333333333</v>
      </c>
      <c r="AQ25" s="24">
        <f t="shared" si="2"/>
        <v>10792.424999999999</v>
      </c>
      <c r="AR25" s="24">
        <f t="shared" si="1"/>
        <v>10332.637499999999</v>
      </c>
    </row>
    <row r="26" spans="1:44" x14ac:dyDescent="0.25">
      <c r="A26" s="77" t="s">
        <v>85</v>
      </c>
      <c r="B26" s="78"/>
      <c r="C26" s="57">
        <v>31446</v>
      </c>
      <c r="D26" s="4">
        <v>8377</v>
      </c>
      <c r="E26" s="4">
        <v>34729</v>
      </c>
      <c r="F26" s="96">
        <v>18104</v>
      </c>
      <c r="G26" s="4"/>
      <c r="H26" s="59"/>
      <c r="I26" s="59"/>
      <c r="J26" s="59"/>
      <c r="K26" s="59"/>
      <c r="L26" s="4"/>
      <c r="M26" s="4"/>
      <c r="N26" s="4"/>
      <c r="O26" s="76">
        <f t="shared" si="0"/>
        <v>23164</v>
      </c>
      <c r="P26" t="s">
        <v>85</v>
      </c>
      <c r="R26" s="20">
        <v>33</v>
      </c>
      <c r="S26" s="20">
        <v>21</v>
      </c>
      <c r="T26" s="20">
        <v>15</v>
      </c>
      <c r="U26" s="20">
        <v>132</v>
      </c>
      <c r="V26" s="20">
        <v>241</v>
      </c>
      <c r="W26" s="20">
        <v>533.33333333333337</v>
      </c>
      <c r="X26" s="20">
        <v>4111.25</v>
      </c>
      <c r="Y26" s="20">
        <v>8793.8333333333339</v>
      </c>
      <c r="Z26" s="20">
        <v>12791.666666666666</v>
      </c>
      <c r="AA26" s="20">
        <v>16736.333333333332</v>
      </c>
      <c r="AB26" s="20">
        <v>19818.333333333332</v>
      </c>
      <c r="AC26" s="70">
        <v>17856.333333333332</v>
      </c>
      <c r="AD26" s="73">
        <f t="shared" si="12"/>
        <v>23164</v>
      </c>
      <c r="AE26" s="23">
        <v>2.82</v>
      </c>
      <c r="AF26" s="23">
        <f t="shared" si="13"/>
        <v>93.059999999999988</v>
      </c>
      <c r="AG26" s="23">
        <f t="shared" si="14"/>
        <v>59.22</v>
      </c>
      <c r="AH26" s="23">
        <f t="shared" si="15"/>
        <v>42.3</v>
      </c>
      <c r="AI26" s="24">
        <f t="shared" si="16"/>
        <v>372.23999999999995</v>
      </c>
      <c r="AJ26" s="24">
        <f t="shared" si="17"/>
        <v>679.62</v>
      </c>
      <c r="AK26" s="24">
        <f t="shared" si="18"/>
        <v>1504</v>
      </c>
      <c r="AL26" s="24">
        <f t="shared" si="19"/>
        <v>11593.724999999999</v>
      </c>
      <c r="AM26" s="24">
        <f t="shared" si="20"/>
        <v>24798.61</v>
      </c>
      <c r="AN26" s="24">
        <f t="shared" si="21"/>
        <v>36072.499999999993</v>
      </c>
      <c r="AO26" s="24">
        <f t="shared" si="22"/>
        <v>47196.459999999992</v>
      </c>
      <c r="AP26" s="24">
        <f t="shared" si="23"/>
        <v>55887.69999999999</v>
      </c>
      <c r="AQ26" s="24">
        <f t="shared" si="2"/>
        <v>50354.859999999993</v>
      </c>
      <c r="AR26" s="24">
        <f t="shared" si="1"/>
        <v>65322.479999999996</v>
      </c>
    </row>
    <row r="27" spans="1:44" s="5" customFormat="1" x14ac:dyDescent="0.25">
      <c r="A27" s="79" t="s">
        <v>99</v>
      </c>
      <c r="B27" s="79"/>
      <c r="C27" s="57">
        <v>14797</v>
      </c>
      <c r="D27" s="4">
        <v>11923</v>
      </c>
      <c r="E27" s="4">
        <v>20835</v>
      </c>
      <c r="F27" s="96">
        <v>12921.5</v>
      </c>
      <c r="G27" s="4"/>
      <c r="H27" s="59"/>
      <c r="I27" s="4"/>
      <c r="J27" s="59"/>
      <c r="K27" s="59"/>
      <c r="L27" s="4"/>
      <c r="M27" s="4"/>
      <c r="N27" s="4"/>
      <c r="O27" s="76">
        <f t="shared" si="0"/>
        <v>15119.125</v>
      </c>
      <c r="P27" s="61" t="s">
        <v>99</v>
      </c>
      <c r="R27" s="20">
        <v>6972.5</v>
      </c>
      <c r="S27" s="20">
        <v>5869</v>
      </c>
      <c r="T27" s="20">
        <v>5438.791666666667</v>
      </c>
      <c r="U27" s="20">
        <v>6054</v>
      </c>
      <c r="V27" s="20">
        <v>7046.708333333333</v>
      </c>
      <c r="W27" s="20">
        <v>7350.041666666667</v>
      </c>
      <c r="X27" s="20">
        <v>7715.875</v>
      </c>
      <c r="Y27" s="20">
        <v>7423.916666666667</v>
      </c>
      <c r="Z27" s="20">
        <v>9248</v>
      </c>
      <c r="AA27" s="20">
        <v>12435.041666666666</v>
      </c>
      <c r="AB27" s="20">
        <v>13502.708333333334</v>
      </c>
      <c r="AC27" s="70">
        <v>14541.458333333334</v>
      </c>
      <c r="AD27" s="73">
        <f t="shared" si="12"/>
        <v>15119.125</v>
      </c>
      <c r="AE27" s="23">
        <v>3.36</v>
      </c>
      <c r="AF27" s="23">
        <f t="shared" si="13"/>
        <v>23427.599999999999</v>
      </c>
      <c r="AG27" s="23">
        <f t="shared" si="14"/>
        <v>19719.84</v>
      </c>
      <c r="AH27" s="23">
        <f t="shared" si="15"/>
        <v>18274.34</v>
      </c>
      <c r="AI27" s="24">
        <f t="shared" si="16"/>
        <v>20341.439999999999</v>
      </c>
      <c r="AJ27" s="24">
        <f t="shared" si="17"/>
        <v>23676.94</v>
      </c>
      <c r="AK27" s="24">
        <f t="shared" si="18"/>
        <v>24696.14</v>
      </c>
      <c r="AL27" s="24">
        <f t="shared" si="19"/>
        <v>25925.34</v>
      </c>
      <c r="AM27" s="24">
        <f t="shared" si="20"/>
        <v>24944.36</v>
      </c>
      <c r="AN27" s="24">
        <f t="shared" si="21"/>
        <v>31073.279999999999</v>
      </c>
      <c r="AO27" s="24">
        <f t="shared" si="22"/>
        <v>41781.74</v>
      </c>
      <c r="AP27" s="24">
        <f t="shared" si="23"/>
        <v>45369.1</v>
      </c>
      <c r="AQ27" s="24">
        <f t="shared" si="2"/>
        <v>48859.3</v>
      </c>
      <c r="AR27" s="24">
        <f t="shared" si="1"/>
        <v>50800.259999999995</v>
      </c>
    </row>
    <row r="28" spans="1:44" x14ac:dyDescent="0.25">
      <c r="A28" s="32" t="s">
        <v>29</v>
      </c>
      <c r="B28" s="32">
        <v>32</v>
      </c>
      <c r="C28" s="57">
        <v>142</v>
      </c>
      <c r="D28" s="4">
        <v>77</v>
      </c>
      <c r="E28" s="4">
        <v>146</v>
      </c>
      <c r="F28" s="59">
        <v>92</v>
      </c>
      <c r="G28" s="4"/>
      <c r="H28" s="59"/>
      <c r="I28" s="59"/>
      <c r="J28" s="59"/>
      <c r="K28" s="59"/>
      <c r="L28" s="4"/>
      <c r="M28" s="4"/>
      <c r="N28" s="4"/>
      <c r="O28" s="68">
        <f t="shared" si="0"/>
        <v>114.25</v>
      </c>
      <c r="P28" t="s">
        <v>29</v>
      </c>
      <c r="R28" s="20">
        <v>335.33333333333331</v>
      </c>
      <c r="S28" s="20">
        <v>336</v>
      </c>
      <c r="T28" s="20">
        <v>348.5</v>
      </c>
      <c r="U28" s="20">
        <v>358</v>
      </c>
      <c r="V28" s="20">
        <v>352.33333333333331</v>
      </c>
      <c r="W28" s="20">
        <v>323</v>
      </c>
      <c r="X28" s="20">
        <v>270.83333333333331</v>
      </c>
      <c r="Y28" s="20">
        <v>202.75</v>
      </c>
      <c r="Z28" s="20">
        <v>202.5</v>
      </c>
      <c r="AA28" s="20">
        <v>171.33333333333334</v>
      </c>
      <c r="AB28" s="20">
        <v>158.08333333333334</v>
      </c>
      <c r="AC28" s="70">
        <v>122.5</v>
      </c>
      <c r="AD28" s="73">
        <f t="shared" si="12"/>
        <v>114.25</v>
      </c>
      <c r="AE28" s="23">
        <v>89.53</v>
      </c>
      <c r="AF28" s="23">
        <f t="shared" si="13"/>
        <v>30022.393333333333</v>
      </c>
      <c r="AG28" s="23">
        <f t="shared" si="14"/>
        <v>30082.080000000002</v>
      </c>
      <c r="AH28" s="23">
        <f t="shared" si="15"/>
        <v>31201.205000000002</v>
      </c>
      <c r="AI28" s="24">
        <f t="shared" si="16"/>
        <v>32051.74</v>
      </c>
      <c r="AJ28" s="24">
        <f t="shared" si="17"/>
        <v>31544.403333333332</v>
      </c>
      <c r="AK28" s="24">
        <f t="shared" si="18"/>
        <v>28918.19</v>
      </c>
      <c r="AL28" s="24">
        <f t="shared" si="19"/>
        <v>24247.708333333332</v>
      </c>
      <c r="AM28" s="24">
        <f t="shared" si="20"/>
        <v>18152.2075</v>
      </c>
      <c r="AN28" s="24">
        <f t="shared" si="21"/>
        <v>18129.825000000001</v>
      </c>
      <c r="AO28" s="24">
        <f t="shared" si="22"/>
        <v>15339.473333333335</v>
      </c>
      <c r="AP28" s="24">
        <f t="shared" si="23"/>
        <v>14153.200833333334</v>
      </c>
      <c r="AQ28" s="24">
        <f t="shared" si="2"/>
        <v>10967.424999999999</v>
      </c>
      <c r="AR28" s="24">
        <f t="shared" si="1"/>
        <v>10228.8025</v>
      </c>
    </row>
    <row r="29" spans="1:44" x14ac:dyDescent="0.25">
      <c r="A29" s="32" t="s">
        <v>30</v>
      </c>
      <c r="B29" s="32">
        <v>33</v>
      </c>
      <c r="C29" s="57">
        <v>131</v>
      </c>
      <c r="D29" s="4">
        <v>76</v>
      </c>
      <c r="E29" s="4">
        <v>238</v>
      </c>
      <c r="F29" s="59">
        <v>117</v>
      </c>
      <c r="G29" s="4"/>
      <c r="H29" s="59"/>
      <c r="I29" s="59"/>
      <c r="J29" s="59"/>
      <c r="K29" s="59"/>
      <c r="L29" s="4"/>
      <c r="M29" s="4"/>
      <c r="N29" s="4"/>
      <c r="O29" s="68">
        <f t="shared" si="0"/>
        <v>140.5</v>
      </c>
      <c r="P29" t="s">
        <v>30</v>
      </c>
      <c r="R29" s="20">
        <v>294.16666666666669</v>
      </c>
      <c r="S29" s="20">
        <v>282</v>
      </c>
      <c r="T29" s="20">
        <v>330.08333333333331</v>
      </c>
      <c r="U29" s="20">
        <v>334</v>
      </c>
      <c r="V29" s="20">
        <v>353.41666666666669</v>
      </c>
      <c r="W29" s="20">
        <v>339.58333333333331</v>
      </c>
      <c r="X29" s="20">
        <v>298.58333333333331</v>
      </c>
      <c r="Y29" s="20">
        <v>246.33333333333334</v>
      </c>
      <c r="Z29" s="20">
        <v>262.16666666666669</v>
      </c>
      <c r="AA29" s="20">
        <v>222.66666666666666</v>
      </c>
      <c r="AB29" s="20">
        <v>251.83333333333334</v>
      </c>
      <c r="AC29" s="70">
        <v>175.25</v>
      </c>
      <c r="AD29" s="73">
        <f t="shared" si="12"/>
        <v>140.5</v>
      </c>
      <c r="AE29" s="23">
        <v>58.99</v>
      </c>
      <c r="AF29" s="23">
        <f t="shared" si="13"/>
        <v>17352.89166666667</v>
      </c>
      <c r="AG29" s="23">
        <f t="shared" si="14"/>
        <v>16635.18</v>
      </c>
      <c r="AH29" s="23">
        <f t="shared" si="15"/>
        <v>19471.615833333333</v>
      </c>
      <c r="AI29" s="24">
        <f t="shared" si="16"/>
        <v>19702.66</v>
      </c>
      <c r="AJ29" s="24">
        <f t="shared" si="17"/>
        <v>20848.049166666668</v>
      </c>
      <c r="AK29" s="24">
        <f t="shared" si="18"/>
        <v>20032.020833333332</v>
      </c>
      <c r="AL29" s="24">
        <f t="shared" si="19"/>
        <v>17613.430833333332</v>
      </c>
      <c r="AM29" s="24">
        <f t="shared" si="20"/>
        <v>14531.203333333335</v>
      </c>
      <c r="AN29" s="24">
        <f t="shared" si="21"/>
        <v>15465.211666666668</v>
      </c>
      <c r="AO29" s="24">
        <f t="shared" si="22"/>
        <v>13135.106666666667</v>
      </c>
      <c r="AP29" s="24">
        <f t="shared" si="23"/>
        <v>14855.648333333334</v>
      </c>
      <c r="AQ29" s="24">
        <f t="shared" si="2"/>
        <v>10337.997499999999</v>
      </c>
      <c r="AR29" s="24">
        <f t="shared" si="1"/>
        <v>8288.0950000000012</v>
      </c>
    </row>
    <row r="30" spans="1:44" x14ac:dyDescent="0.25">
      <c r="A30" s="32" t="s">
        <v>31</v>
      </c>
      <c r="B30" s="32">
        <v>34</v>
      </c>
      <c r="C30" s="57">
        <v>25</v>
      </c>
      <c r="D30" s="4">
        <v>3</v>
      </c>
      <c r="E30" s="4">
        <v>35</v>
      </c>
      <c r="F30" s="59">
        <v>24</v>
      </c>
      <c r="G30" s="4"/>
      <c r="H30" s="59"/>
      <c r="I30" s="59"/>
      <c r="J30" s="59"/>
      <c r="K30" s="59"/>
      <c r="L30" s="4"/>
      <c r="M30" s="4"/>
      <c r="N30" s="4"/>
      <c r="O30" s="68">
        <f>AVERAGE(C30:N30)</f>
        <v>21.75</v>
      </c>
      <c r="P30" t="s">
        <v>31</v>
      </c>
      <c r="R30" s="20">
        <v>61.5</v>
      </c>
      <c r="S30" s="20">
        <v>76</v>
      </c>
      <c r="T30" s="20">
        <v>64.166666666666671</v>
      </c>
      <c r="U30" s="20">
        <v>66</v>
      </c>
      <c r="V30" s="20">
        <v>67.833333333333329</v>
      </c>
      <c r="W30" s="20">
        <v>61.333333333333336</v>
      </c>
      <c r="X30" s="20">
        <v>55.916666666666664</v>
      </c>
      <c r="Y30" s="20">
        <v>37.916666666666664</v>
      </c>
      <c r="Z30" s="20">
        <v>30.416666666666668</v>
      </c>
      <c r="AA30" s="20">
        <v>29.5</v>
      </c>
      <c r="AB30" s="20">
        <v>27.5</v>
      </c>
      <c r="AC30" s="70">
        <v>28.416666666666668</v>
      </c>
      <c r="AD30" s="73">
        <f t="shared" si="12"/>
        <v>21.75</v>
      </c>
      <c r="AE30" s="23">
        <v>35.4</v>
      </c>
      <c r="AF30" s="23">
        <f t="shared" si="13"/>
        <v>2177.1</v>
      </c>
      <c r="AG30" s="23">
        <f t="shared" si="14"/>
        <v>2690.4</v>
      </c>
      <c r="AH30" s="23">
        <f t="shared" si="15"/>
        <v>2271.5</v>
      </c>
      <c r="AI30" s="24">
        <f t="shared" si="16"/>
        <v>2336.4</v>
      </c>
      <c r="AJ30" s="24">
        <f t="shared" si="17"/>
        <v>2401.2999999999997</v>
      </c>
      <c r="AK30" s="24">
        <f t="shared" si="18"/>
        <v>2171.1999999999998</v>
      </c>
      <c r="AL30" s="24">
        <f t="shared" si="19"/>
        <v>1979.4499999999998</v>
      </c>
      <c r="AM30" s="24">
        <f t="shared" si="20"/>
        <v>1342.2499999999998</v>
      </c>
      <c r="AN30" s="24">
        <f t="shared" si="21"/>
        <v>1076.75</v>
      </c>
      <c r="AO30" s="24">
        <f t="shared" si="22"/>
        <v>1044.3</v>
      </c>
      <c r="AP30" s="24">
        <f t="shared" si="23"/>
        <v>973.5</v>
      </c>
      <c r="AQ30" s="24">
        <f t="shared" si="2"/>
        <v>1005.95</v>
      </c>
      <c r="AR30" s="24">
        <f t="shared" si="1"/>
        <v>769.94999999999993</v>
      </c>
    </row>
    <row r="31" spans="1:44" x14ac:dyDescent="0.25">
      <c r="A31" s="32" t="s">
        <v>111</v>
      </c>
      <c r="B31" s="32">
        <v>35</v>
      </c>
      <c r="C31" s="57">
        <v>119</v>
      </c>
      <c r="D31" s="4">
        <v>52</v>
      </c>
      <c r="E31" s="4">
        <v>212</v>
      </c>
      <c r="F31" s="59">
        <v>94</v>
      </c>
      <c r="G31" s="4"/>
      <c r="H31" s="59"/>
      <c r="I31" s="59"/>
      <c r="J31" s="59"/>
      <c r="K31" s="59"/>
      <c r="L31" s="4"/>
      <c r="M31" s="4"/>
      <c r="N31" s="4"/>
      <c r="O31" s="68">
        <f>AVERAGE(C31:N31)</f>
        <v>119.25</v>
      </c>
      <c r="P31" t="s">
        <v>32</v>
      </c>
      <c r="R31" s="20">
        <v>135</v>
      </c>
      <c r="S31" s="20">
        <v>135</v>
      </c>
      <c r="T31" s="20">
        <v>192.66666666666666</v>
      </c>
      <c r="U31" s="20">
        <v>239</v>
      </c>
      <c r="V31" s="20">
        <v>242.58333333333334</v>
      </c>
      <c r="W31" s="20">
        <v>295.08333333333331</v>
      </c>
      <c r="X31" s="20">
        <v>454.91666666666669</v>
      </c>
      <c r="Y31" s="20">
        <v>374.5</v>
      </c>
      <c r="Z31" s="20">
        <v>373</v>
      </c>
      <c r="AA31" s="20">
        <v>349.66666666666669</v>
      </c>
      <c r="AB31" s="20">
        <v>251.33333333333334</v>
      </c>
      <c r="AC31" s="70">
        <v>173.83333333333334</v>
      </c>
      <c r="AD31" s="73">
        <f t="shared" si="12"/>
        <v>119.25</v>
      </c>
      <c r="AE31" s="23">
        <v>34.81</v>
      </c>
      <c r="AF31" s="23">
        <f t="shared" si="13"/>
        <v>4699.3500000000004</v>
      </c>
      <c r="AG31" s="23">
        <f t="shared" si="14"/>
        <v>4699.3500000000004</v>
      </c>
      <c r="AH31" s="23">
        <f t="shared" si="15"/>
        <v>6706.7266666666665</v>
      </c>
      <c r="AI31" s="24">
        <f t="shared" si="16"/>
        <v>8319.59</v>
      </c>
      <c r="AJ31" s="24">
        <f t="shared" si="17"/>
        <v>8444.3258333333342</v>
      </c>
      <c r="AK31" s="24">
        <f t="shared" si="18"/>
        <v>10271.850833333334</v>
      </c>
      <c r="AL31" s="24">
        <f t="shared" si="19"/>
        <v>15835.649166666668</v>
      </c>
      <c r="AM31" s="24">
        <f t="shared" si="20"/>
        <v>13036.345000000001</v>
      </c>
      <c r="AN31" s="24">
        <f t="shared" si="21"/>
        <v>12984.130000000001</v>
      </c>
      <c r="AO31" s="24">
        <f t="shared" si="22"/>
        <v>12171.896666666667</v>
      </c>
      <c r="AP31" s="24">
        <f t="shared" si="23"/>
        <v>8748.9133333333339</v>
      </c>
      <c r="AQ31" s="24">
        <f t="shared" si="2"/>
        <v>6051.1383333333342</v>
      </c>
      <c r="AR31" s="24">
        <f t="shared" si="1"/>
        <v>4151.0925000000007</v>
      </c>
    </row>
    <row r="32" spans="1:44" x14ac:dyDescent="0.25">
      <c r="A32" s="32" t="s">
        <v>33</v>
      </c>
      <c r="B32" s="32">
        <v>36</v>
      </c>
      <c r="C32" s="57">
        <v>4</v>
      </c>
      <c r="D32" s="4">
        <v>1</v>
      </c>
      <c r="E32" s="4">
        <v>0</v>
      </c>
      <c r="F32" s="59">
        <v>4</v>
      </c>
      <c r="G32" s="4"/>
      <c r="H32" s="59"/>
      <c r="I32" s="59"/>
      <c r="J32" s="59"/>
      <c r="K32" s="59"/>
      <c r="L32" s="4"/>
      <c r="M32" s="4"/>
      <c r="N32" s="4"/>
      <c r="O32" s="68">
        <f t="shared" si="0"/>
        <v>2.25</v>
      </c>
      <c r="P32" t="s">
        <v>33</v>
      </c>
      <c r="R32" s="20">
        <v>11.25</v>
      </c>
      <c r="S32" s="20">
        <v>12</v>
      </c>
      <c r="T32" s="20">
        <v>9.8333333333333339</v>
      </c>
      <c r="U32" s="20">
        <v>9</v>
      </c>
      <c r="V32" s="20">
        <v>12</v>
      </c>
      <c r="W32" s="20">
        <v>15.666666666666666</v>
      </c>
      <c r="X32" s="20">
        <v>9.0833333333333339</v>
      </c>
      <c r="Y32" s="20">
        <v>7.583333333333333</v>
      </c>
      <c r="Z32" s="20">
        <v>6.916666666666667</v>
      </c>
      <c r="AA32" s="20">
        <v>5.333333333333333</v>
      </c>
      <c r="AB32" s="20">
        <v>4.333333333333333</v>
      </c>
      <c r="AC32" s="70">
        <v>4.916666666666667</v>
      </c>
      <c r="AD32" s="73">
        <f t="shared" si="12"/>
        <v>2.25</v>
      </c>
      <c r="AE32" s="23">
        <v>37.380000000000003</v>
      </c>
      <c r="AF32" s="23">
        <f t="shared" si="13"/>
        <v>420.52500000000003</v>
      </c>
      <c r="AG32" s="23">
        <f t="shared" si="14"/>
        <v>448.56000000000006</v>
      </c>
      <c r="AH32" s="23">
        <f t="shared" si="15"/>
        <v>367.57000000000005</v>
      </c>
      <c r="AI32" s="24">
        <f t="shared" si="16"/>
        <v>336.42</v>
      </c>
      <c r="AJ32" s="24">
        <f t="shared" si="17"/>
        <v>448.56000000000006</v>
      </c>
      <c r="AK32" s="24">
        <f t="shared" si="18"/>
        <v>585.62</v>
      </c>
      <c r="AL32" s="24">
        <f t="shared" si="19"/>
        <v>339.53500000000003</v>
      </c>
      <c r="AM32" s="24">
        <f t="shared" si="20"/>
        <v>283.46500000000003</v>
      </c>
      <c r="AN32" s="24">
        <f t="shared" si="21"/>
        <v>258.54500000000002</v>
      </c>
      <c r="AO32" s="24">
        <f t="shared" si="22"/>
        <v>199.36</v>
      </c>
      <c r="AP32" s="24">
        <f t="shared" si="23"/>
        <v>161.97999999999999</v>
      </c>
      <c r="AQ32" s="24">
        <f t="shared" si="2"/>
        <v>183.78500000000003</v>
      </c>
      <c r="AR32" s="24">
        <f t="shared" si="1"/>
        <v>84.105000000000004</v>
      </c>
    </row>
    <row r="33" spans="1:44" x14ac:dyDescent="0.25">
      <c r="A33" s="32" t="s">
        <v>76</v>
      </c>
      <c r="B33" s="32">
        <v>141</v>
      </c>
      <c r="C33" s="57">
        <v>0</v>
      </c>
      <c r="D33" s="4">
        <v>11</v>
      </c>
      <c r="E33" s="4">
        <v>9</v>
      </c>
      <c r="F33" s="59">
        <v>1</v>
      </c>
      <c r="G33" s="4"/>
      <c r="H33" s="59"/>
      <c r="I33" s="59"/>
      <c r="J33" s="59"/>
      <c r="K33" s="59"/>
      <c r="L33" s="4"/>
      <c r="M33" s="4"/>
      <c r="N33" s="4"/>
      <c r="O33" s="68">
        <f>AVERAGE(C33:N33)</f>
        <v>5.25</v>
      </c>
      <c r="P33" t="s">
        <v>76</v>
      </c>
      <c r="R33" s="20">
        <v>0</v>
      </c>
      <c r="S33" s="20">
        <v>0</v>
      </c>
      <c r="T33" s="20">
        <v>1.9166666666666667</v>
      </c>
      <c r="U33" s="20">
        <v>3</v>
      </c>
      <c r="V33" s="20">
        <v>5.166666666666667</v>
      </c>
      <c r="W33" s="20">
        <v>4.75</v>
      </c>
      <c r="X33" s="20">
        <v>5.25</v>
      </c>
      <c r="Y33" s="20">
        <v>5.333333333333333</v>
      </c>
      <c r="Z33" s="20">
        <v>5.583333333333333</v>
      </c>
      <c r="AA33" s="20">
        <v>7.333333333333333</v>
      </c>
      <c r="AB33" s="20">
        <v>7.833333333333333</v>
      </c>
      <c r="AC33" s="70">
        <v>6.666666666666667</v>
      </c>
      <c r="AD33" s="73">
        <f t="shared" si="12"/>
        <v>5.25</v>
      </c>
      <c r="AE33" s="23">
        <v>162</v>
      </c>
      <c r="AF33" s="23">
        <f t="shared" si="13"/>
        <v>0</v>
      </c>
      <c r="AG33" s="23">
        <f t="shared" si="14"/>
        <v>0</v>
      </c>
      <c r="AH33" s="23">
        <f t="shared" si="15"/>
        <v>310.5</v>
      </c>
      <c r="AI33" s="24">
        <f t="shared" si="16"/>
        <v>486</v>
      </c>
      <c r="AJ33" s="24">
        <f t="shared" si="17"/>
        <v>837</v>
      </c>
      <c r="AK33" s="24">
        <f t="shared" si="18"/>
        <v>769.5</v>
      </c>
      <c r="AL33" s="24">
        <f t="shared" si="19"/>
        <v>850.5</v>
      </c>
      <c r="AM33" s="24">
        <f t="shared" si="20"/>
        <v>864</v>
      </c>
      <c r="AN33" s="24">
        <f t="shared" si="21"/>
        <v>904.5</v>
      </c>
      <c r="AO33" s="24">
        <f t="shared" si="22"/>
        <v>1188</v>
      </c>
      <c r="AP33" s="24">
        <f t="shared" si="23"/>
        <v>1269</v>
      </c>
      <c r="AQ33" s="24">
        <f t="shared" si="2"/>
        <v>1080</v>
      </c>
      <c r="AR33" s="24">
        <f t="shared" si="1"/>
        <v>850.5</v>
      </c>
    </row>
    <row r="34" spans="1:44" x14ac:dyDescent="0.25">
      <c r="A34" s="33" t="s">
        <v>35</v>
      </c>
      <c r="B34" s="34" t="s">
        <v>64</v>
      </c>
      <c r="C34" s="60">
        <v>10628</v>
      </c>
      <c r="D34" s="4">
        <f>5151+(4*300)-4</f>
        <v>6347</v>
      </c>
      <c r="E34" s="4">
        <v>10525</v>
      </c>
      <c r="F34" s="59">
        <v>9812</v>
      </c>
      <c r="G34" s="4"/>
      <c r="H34" s="59"/>
      <c r="I34" s="59"/>
      <c r="J34" s="80"/>
      <c r="K34" s="59"/>
      <c r="L34" s="4"/>
      <c r="M34" s="4"/>
      <c r="N34" s="4"/>
      <c r="O34" s="76">
        <f t="shared" si="0"/>
        <v>9328</v>
      </c>
      <c r="P34" t="s">
        <v>35</v>
      </c>
      <c r="R34" s="20">
        <v>7932.333333333333</v>
      </c>
      <c r="S34" s="20">
        <v>6532</v>
      </c>
      <c r="T34" s="20">
        <v>6982.666666666667</v>
      </c>
      <c r="U34" s="20">
        <v>7113</v>
      </c>
      <c r="V34" s="20">
        <v>9565.8333333333339</v>
      </c>
      <c r="W34" s="20">
        <v>9800.9166666666661</v>
      </c>
      <c r="X34" s="20">
        <v>10006.5</v>
      </c>
      <c r="Y34" s="20">
        <v>7652.166666666667</v>
      </c>
      <c r="Z34" s="20">
        <v>6647.583333333333</v>
      </c>
      <c r="AA34" s="20">
        <v>7471.166666666667</v>
      </c>
      <c r="AB34" s="20">
        <v>9430.5833333333339</v>
      </c>
      <c r="AC34" s="70">
        <v>9296.25</v>
      </c>
      <c r="AD34" s="73">
        <f t="shared" si="12"/>
        <v>9328</v>
      </c>
      <c r="AE34" s="23">
        <v>11.02</v>
      </c>
      <c r="AF34" s="23">
        <f t="shared" si="13"/>
        <v>87414.313333333324</v>
      </c>
      <c r="AG34" s="23">
        <f t="shared" si="14"/>
        <v>71982.64</v>
      </c>
      <c r="AH34" s="23">
        <f t="shared" si="15"/>
        <v>76948.986666666664</v>
      </c>
      <c r="AI34" s="24">
        <f t="shared" si="16"/>
        <v>78385.259999999995</v>
      </c>
      <c r="AJ34" s="24">
        <f t="shared" si="17"/>
        <v>105415.48333333334</v>
      </c>
      <c r="AK34" s="24">
        <f t="shared" si="18"/>
        <v>108006.10166666665</v>
      </c>
      <c r="AL34" s="24">
        <f t="shared" si="19"/>
        <v>110271.62999999999</v>
      </c>
      <c r="AM34" s="24">
        <f t="shared" si="20"/>
        <v>84326.876666666663</v>
      </c>
      <c r="AN34" s="24">
        <f t="shared" si="21"/>
        <v>73256.368333333332</v>
      </c>
      <c r="AO34" s="24">
        <f t="shared" si="22"/>
        <v>82332.256666666668</v>
      </c>
      <c r="AP34" s="24">
        <f t="shared" si="23"/>
        <v>103925.02833333334</v>
      </c>
      <c r="AQ34" s="24">
        <f t="shared" si="2"/>
        <v>102444.675</v>
      </c>
      <c r="AR34" s="24">
        <f t="shared" si="1"/>
        <v>102794.56</v>
      </c>
    </row>
    <row r="35" spans="1:44" x14ac:dyDescent="0.25">
      <c r="A35" s="32" t="s">
        <v>65</v>
      </c>
      <c r="B35" s="37">
        <v>105</v>
      </c>
      <c r="C35" s="60">
        <v>382</v>
      </c>
      <c r="D35" s="4">
        <v>392</v>
      </c>
      <c r="E35" s="4">
        <v>421</v>
      </c>
      <c r="F35" s="59">
        <v>490</v>
      </c>
      <c r="G35" s="4"/>
      <c r="H35" s="59"/>
      <c r="I35" s="59"/>
      <c r="J35" s="59"/>
      <c r="K35" s="59"/>
      <c r="L35" s="4"/>
      <c r="M35" s="4"/>
      <c r="N35" s="4"/>
      <c r="O35" s="68">
        <f t="shared" si="0"/>
        <v>421.25</v>
      </c>
      <c r="P35" t="s">
        <v>65</v>
      </c>
      <c r="R35" s="14">
        <v>635</v>
      </c>
      <c r="S35" s="14">
        <v>451</v>
      </c>
      <c r="T35" s="14">
        <v>416.25</v>
      </c>
      <c r="U35" s="14">
        <v>480</v>
      </c>
      <c r="V35" s="20">
        <v>568.58333333333337</v>
      </c>
      <c r="W35" s="20">
        <v>615</v>
      </c>
      <c r="X35" s="20">
        <v>604.41666666666663</v>
      </c>
      <c r="Y35" s="20">
        <v>496.25</v>
      </c>
      <c r="Z35" s="20">
        <v>511.16666666666669</v>
      </c>
      <c r="AA35" s="20">
        <v>578.25</v>
      </c>
      <c r="AB35" s="20">
        <v>568.75</v>
      </c>
      <c r="AC35" s="70">
        <v>524.33333333333337</v>
      </c>
      <c r="AD35" s="73">
        <f t="shared" si="12"/>
        <v>421.25</v>
      </c>
      <c r="AE35" s="31">
        <v>11</v>
      </c>
      <c r="AF35" s="23">
        <f t="shared" si="13"/>
        <v>6985</v>
      </c>
      <c r="AG35" s="23">
        <f t="shared" si="14"/>
        <v>4961</v>
      </c>
      <c r="AH35" s="23">
        <f t="shared" si="15"/>
        <v>4578.75</v>
      </c>
      <c r="AI35" s="24">
        <f t="shared" si="16"/>
        <v>5280</v>
      </c>
      <c r="AJ35" s="24">
        <f t="shared" si="17"/>
        <v>6254.416666666667</v>
      </c>
      <c r="AK35" s="24">
        <f t="shared" si="18"/>
        <v>6765</v>
      </c>
      <c r="AL35" s="24">
        <f t="shared" si="19"/>
        <v>6648.583333333333</v>
      </c>
      <c r="AM35" s="24">
        <f t="shared" si="20"/>
        <v>5458.75</v>
      </c>
      <c r="AN35" s="24">
        <f t="shared" si="21"/>
        <v>5622.8333333333339</v>
      </c>
      <c r="AO35" s="24">
        <f t="shared" si="22"/>
        <v>6360.75</v>
      </c>
      <c r="AP35" s="24">
        <f t="shared" si="23"/>
        <v>6256.25</v>
      </c>
      <c r="AQ35" s="24">
        <f t="shared" si="2"/>
        <v>5767.666666666667</v>
      </c>
      <c r="AR35" s="24">
        <f t="shared" si="1"/>
        <v>4633.75</v>
      </c>
    </row>
    <row r="36" spans="1:44" x14ac:dyDescent="0.25">
      <c r="A36" s="32" t="s">
        <v>66</v>
      </c>
      <c r="B36" s="32">
        <v>138</v>
      </c>
      <c r="C36" s="60">
        <v>2</v>
      </c>
      <c r="D36" s="4">
        <v>2</v>
      </c>
      <c r="E36" s="4">
        <v>39</v>
      </c>
      <c r="F36" s="59">
        <v>25</v>
      </c>
      <c r="G36" s="4"/>
      <c r="H36" s="59"/>
      <c r="I36" s="59"/>
      <c r="J36" s="59"/>
      <c r="K36" s="59"/>
      <c r="L36" s="4"/>
      <c r="M36" s="4"/>
      <c r="N36" s="4"/>
      <c r="O36" s="68">
        <f t="shared" si="0"/>
        <v>17</v>
      </c>
      <c r="P36" t="s">
        <v>36</v>
      </c>
      <c r="R36" s="20">
        <v>106.66666666666667</v>
      </c>
      <c r="S36" s="20">
        <v>40</v>
      </c>
      <c r="T36" s="20">
        <v>27.083333333333332</v>
      </c>
      <c r="U36" s="20">
        <v>37</v>
      </c>
      <c r="V36" s="20">
        <v>58.833333333333336</v>
      </c>
      <c r="W36" s="20">
        <v>42.333333333333336</v>
      </c>
      <c r="X36" s="20">
        <v>67.5</v>
      </c>
      <c r="Y36" s="20">
        <v>53.166666666666664</v>
      </c>
      <c r="Z36" s="20">
        <v>49.916666666666664</v>
      </c>
      <c r="AA36" s="20">
        <v>38.833333333333336</v>
      </c>
      <c r="AB36" s="20">
        <v>46.666666666666664</v>
      </c>
      <c r="AC36" s="70">
        <v>24.916666666666668</v>
      </c>
      <c r="AD36" s="73">
        <f t="shared" si="12"/>
        <v>17</v>
      </c>
      <c r="AE36" s="23">
        <v>15.84</v>
      </c>
      <c r="AF36" s="23">
        <f t="shared" si="13"/>
        <v>1689.6000000000001</v>
      </c>
      <c r="AG36" s="23">
        <f t="shared" si="14"/>
        <v>633.6</v>
      </c>
      <c r="AH36" s="23">
        <f t="shared" si="15"/>
        <v>429</v>
      </c>
      <c r="AI36" s="24">
        <f t="shared" si="16"/>
        <v>586.08000000000004</v>
      </c>
      <c r="AJ36" s="24">
        <f t="shared" si="17"/>
        <v>931.92000000000007</v>
      </c>
      <c r="AK36" s="24">
        <f t="shared" si="18"/>
        <v>670.56000000000006</v>
      </c>
      <c r="AL36" s="24">
        <f t="shared" si="19"/>
        <v>1069.2</v>
      </c>
      <c r="AM36" s="24">
        <f t="shared" si="20"/>
        <v>842.16</v>
      </c>
      <c r="AN36" s="24">
        <f t="shared" si="21"/>
        <v>790.68</v>
      </c>
      <c r="AO36" s="24">
        <f t="shared" si="22"/>
        <v>615.12</v>
      </c>
      <c r="AP36" s="24">
        <f t="shared" si="23"/>
        <v>739.19999999999993</v>
      </c>
      <c r="AQ36" s="24">
        <f t="shared" si="2"/>
        <v>394.68</v>
      </c>
      <c r="AR36" s="24">
        <f t="shared" si="1"/>
        <v>269.27999999999997</v>
      </c>
    </row>
    <row r="37" spans="1:44" x14ac:dyDescent="0.25">
      <c r="A37" s="55" t="s">
        <v>37</v>
      </c>
      <c r="B37" s="55">
        <v>120</v>
      </c>
      <c r="C37" s="60">
        <v>59</v>
      </c>
      <c r="D37" s="4">
        <v>27</v>
      </c>
      <c r="E37" s="4">
        <v>41</v>
      </c>
      <c r="F37" s="59">
        <v>32</v>
      </c>
      <c r="G37" s="4"/>
      <c r="H37" s="59"/>
      <c r="I37" s="59"/>
      <c r="J37" s="59"/>
      <c r="K37" s="59"/>
      <c r="L37" s="4"/>
      <c r="M37" s="4"/>
      <c r="N37" s="4"/>
      <c r="O37" s="68">
        <f t="shared" si="0"/>
        <v>39.75</v>
      </c>
      <c r="P37" s="1" t="s">
        <v>37</v>
      </c>
      <c r="R37" s="20">
        <v>16.5</v>
      </c>
      <c r="S37" s="20">
        <v>54</v>
      </c>
      <c r="T37" s="20">
        <v>50.5</v>
      </c>
      <c r="U37" s="20">
        <v>57</v>
      </c>
      <c r="V37" s="20">
        <v>45.25</v>
      </c>
      <c r="W37" s="20">
        <v>47.083333333333336</v>
      </c>
      <c r="X37" s="20">
        <v>57.833333333333336</v>
      </c>
      <c r="Y37" s="20">
        <v>47.416666666666664</v>
      </c>
      <c r="Z37" s="20">
        <v>62.583333333333336</v>
      </c>
      <c r="AA37" s="20">
        <v>51.75</v>
      </c>
      <c r="AB37" s="20">
        <v>76.75</v>
      </c>
      <c r="AC37" s="70">
        <v>61.916666666666664</v>
      </c>
      <c r="AD37" s="73">
        <f t="shared" si="12"/>
        <v>39.75</v>
      </c>
      <c r="AE37" s="23">
        <v>114</v>
      </c>
      <c r="AF37" s="23">
        <f t="shared" si="13"/>
        <v>1881</v>
      </c>
      <c r="AG37" s="23">
        <f t="shared" si="14"/>
        <v>6156</v>
      </c>
      <c r="AH37" s="23">
        <f t="shared" si="15"/>
        <v>5757</v>
      </c>
      <c r="AI37" s="24">
        <f t="shared" si="16"/>
        <v>6498</v>
      </c>
      <c r="AJ37" s="24">
        <f t="shared" si="17"/>
        <v>5158.5</v>
      </c>
      <c r="AK37" s="24">
        <f t="shared" si="18"/>
        <v>5367.5</v>
      </c>
      <c r="AL37" s="24">
        <f t="shared" si="19"/>
        <v>6593</v>
      </c>
      <c r="AM37" s="24">
        <f t="shared" si="20"/>
        <v>5405.5</v>
      </c>
      <c r="AN37" s="24">
        <f t="shared" si="21"/>
        <v>7134.5</v>
      </c>
      <c r="AO37" s="24">
        <f t="shared" si="22"/>
        <v>5899.5</v>
      </c>
      <c r="AP37" s="24">
        <f t="shared" si="23"/>
        <v>8749.5</v>
      </c>
      <c r="AQ37" s="24">
        <f t="shared" si="2"/>
        <v>7058.5</v>
      </c>
      <c r="AR37" s="24">
        <f t="shared" si="1"/>
        <v>4531.5</v>
      </c>
    </row>
    <row r="38" spans="1:44" x14ac:dyDescent="0.25">
      <c r="A38" s="55" t="s">
        <v>38</v>
      </c>
      <c r="B38" s="55">
        <v>119</v>
      </c>
      <c r="C38" s="60">
        <v>30</v>
      </c>
      <c r="D38" s="4">
        <v>47</v>
      </c>
      <c r="E38" s="4">
        <v>46</v>
      </c>
      <c r="F38" s="59">
        <v>65</v>
      </c>
      <c r="G38" s="4"/>
      <c r="H38" s="59"/>
      <c r="I38" s="59"/>
      <c r="J38" s="59"/>
      <c r="K38" s="59"/>
      <c r="L38" s="4"/>
      <c r="M38" s="4"/>
      <c r="N38" s="4"/>
      <c r="O38" s="68">
        <f t="shared" si="0"/>
        <v>47</v>
      </c>
      <c r="P38" s="1" t="s">
        <v>38</v>
      </c>
      <c r="R38" s="20">
        <v>19</v>
      </c>
      <c r="S38" s="20">
        <v>48</v>
      </c>
      <c r="T38" s="20">
        <v>43.916666666666664</v>
      </c>
      <c r="U38" s="20">
        <v>55</v>
      </c>
      <c r="V38" s="20">
        <v>53.25</v>
      </c>
      <c r="W38" s="20">
        <v>48.5</v>
      </c>
      <c r="X38" s="20">
        <v>51</v>
      </c>
      <c r="Y38" s="20">
        <v>46.25</v>
      </c>
      <c r="Z38" s="20">
        <v>51.5</v>
      </c>
      <c r="AA38" s="20">
        <v>54</v>
      </c>
      <c r="AB38" s="20">
        <v>75.666666666666671</v>
      </c>
      <c r="AC38" s="70">
        <v>59.25</v>
      </c>
      <c r="AD38" s="73">
        <f t="shared" si="12"/>
        <v>47</v>
      </c>
      <c r="AE38" s="23">
        <v>106</v>
      </c>
      <c r="AF38" s="23">
        <f t="shared" si="13"/>
        <v>2014</v>
      </c>
      <c r="AG38" s="23">
        <f t="shared" si="14"/>
        <v>5088</v>
      </c>
      <c r="AH38" s="23">
        <f t="shared" si="15"/>
        <v>4655.1666666666661</v>
      </c>
      <c r="AI38" s="24">
        <f t="shared" si="16"/>
        <v>5830</v>
      </c>
      <c r="AJ38" s="24">
        <f t="shared" si="17"/>
        <v>5644.5</v>
      </c>
      <c r="AK38" s="24">
        <f t="shared" si="18"/>
        <v>5141</v>
      </c>
      <c r="AL38" s="24">
        <f t="shared" si="19"/>
        <v>5406</v>
      </c>
      <c r="AM38" s="24">
        <f t="shared" si="20"/>
        <v>4902.5</v>
      </c>
      <c r="AN38" s="24">
        <f t="shared" si="21"/>
        <v>5459</v>
      </c>
      <c r="AO38" s="24">
        <f t="shared" si="22"/>
        <v>5724</v>
      </c>
      <c r="AP38" s="24">
        <f t="shared" si="23"/>
        <v>8020.666666666667</v>
      </c>
      <c r="AQ38" s="24">
        <f t="shared" si="2"/>
        <v>6280.5</v>
      </c>
      <c r="AR38" s="24">
        <f t="shared" si="1"/>
        <v>4982</v>
      </c>
    </row>
    <row r="39" spans="1:44" x14ac:dyDescent="0.25">
      <c r="A39" s="32" t="s">
        <v>39</v>
      </c>
      <c r="B39" s="32">
        <v>93</v>
      </c>
      <c r="C39" s="60">
        <v>28</v>
      </c>
      <c r="D39" s="4">
        <v>28</v>
      </c>
      <c r="E39" s="4">
        <v>45</v>
      </c>
      <c r="F39" s="59">
        <v>17</v>
      </c>
      <c r="G39" s="4"/>
      <c r="H39" s="59"/>
      <c r="I39" s="59"/>
      <c r="J39" s="59"/>
      <c r="K39" s="59"/>
      <c r="L39" s="4"/>
      <c r="M39" s="4"/>
      <c r="N39" s="4"/>
      <c r="O39" s="68">
        <f t="shared" si="0"/>
        <v>29.5</v>
      </c>
      <c r="P39" t="s">
        <v>39</v>
      </c>
      <c r="R39" s="20">
        <v>110</v>
      </c>
      <c r="S39" s="20">
        <v>92</v>
      </c>
      <c r="T39" s="20">
        <v>81.833333333333329</v>
      </c>
      <c r="U39" s="20">
        <v>86</v>
      </c>
      <c r="V39" s="20">
        <v>80.666666666666671</v>
      </c>
      <c r="W39" s="20">
        <v>69.583333333333329</v>
      </c>
      <c r="X39" s="20">
        <v>66.083333333333329</v>
      </c>
      <c r="Y39" s="20">
        <v>53.5</v>
      </c>
      <c r="Z39" s="20">
        <v>52.166666666666664</v>
      </c>
      <c r="AA39" s="20">
        <v>52.416666666666664</v>
      </c>
      <c r="AB39" s="20">
        <v>59.25</v>
      </c>
      <c r="AC39" s="70">
        <v>42.75</v>
      </c>
      <c r="AD39" s="73">
        <f t="shared" si="12"/>
        <v>29.5</v>
      </c>
      <c r="AE39" s="23">
        <v>102</v>
      </c>
      <c r="AF39" s="23">
        <f t="shared" si="13"/>
        <v>11220</v>
      </c>
      <c r="AG39" s="23">
        <f t="shared" si="14"/>
        <v>9384</v>
      </c>
      <c r="AH39" s="23">
        <f t="shared" si="15"/>
        <v>8347</v>
      </c>
      <c r="AI39" s="24">
        <f t="shared" si="16"/>
        <v>8772</v>
      </c>
      <c r="AJ39" s="24">
        <f t="shared" si="17"/>
        <v>8228</v>
      </c>
      <c r="AK39" s="24">
        <f t="shared" si="18"/>
        <v>7097.4999999999991</v>
      </c>
      <c r="AL39" s="24">
        <f t="shared" si="19"/>
        <v>6740.4999999999991</v>
      </c>
      <c r="AM39" s="24">
        <f t="shared" si="20"/>
        <v>5457</v>
      </c>
      <c r="AN39" s="24">
        <f t="shared" si="21"/>
        <v>5321</v>
      </c>
      <c r="AO39" s="24">
        <f t="shared" si="22"/>
        <v>5346.5</v>
      </c>
      <c r="AP39" s="24">
        <f t="shared" si="23"/>
        <v>6043.5</v>
      </c>
      <c r="AQ39" s="24">
        <f t="shared" si="2"/>
        <v>4360.5</v>
      </c>
      <c r="AR39" s="24">
        <f t="shared" si="1"/>
        <v>3009</v>
      </c>
    </row>
    <row r="40" spans="1:44" x14ac:dyDescent="0.25">
      <c r="A40" s="32" t="s">
        <v>40</v>
      </c>
      <c r="B40" s="32">
        <v>107</v>
      </c>
      <c r="C40" s="57">
        <v>52</v>
      </c>
      <c r="D40" s="4">
        <v>95</v>
      </c>
      <c r="E40" s="4">
        <v>99</v>
      </c>
      <c r="F40" s="59">
        <v>72</v>
      </c>
      <c r="G40" s="4"/>
      <c r="H40" s="59"/>
      <c r="I40" s="59"/>
      <c r="J40" s="59"/>
      <c r="K40" s="59"/>
      <c r="L40" s="4"/>
      <c r="M40" s="4"/>
      <c r="N40" s="4"/>
      <c r="O40" s="68">
        <f t="shared" si="0"/>
        <v>79.5</v>
      </c>
      <c r="P40" t="s">
        <v>40</v>
      </c>
      <c r="R40" s="43">
        <v>100</v>
      </c>
      <c r="S40" s="20">
        <v>113</v>
      </c>
      <c r="T40" s="20">
        <v>122.83333333333333</v>
      </c>
      <c r="U40" s="20">
        <v>145</v>
      </c>
      <c r="V40" s="20">
        <v>133.75</v>
      </c>
      <c r="W40" s="20">
        <v>127.75</v>
      </c>
      <c r="X40" s="20">
        <v>130.58333333333334</v>
      </c>
      <c r="Y40" s="20">
        <v>132.41666666666666</v>
      </c>
      <c r="Z40" s="20">
        <v>135.66666666666666</v>
      </c>
      <c r="AA40" s="20">
        <v>124.91666666666667</v>
      </c>
      <c r="AB40" s="20">
        <v>133.66666666666666</v>
      </c>
      <c r="AC40" s="70">
        <v>101.58333333333333</v>
      </c>
      <c r="AD40" s="73">
        <f t="shared" si="12"/>
        <v>79.5</v>
      </c>
      <c r="AE40" s="23">
        <v>51.11</v>
      </c>
      <c r="AF40" s="23">
        <f t="shared" si="13"/>
        <v>5111</v>
      </c>
      <c r="AG40" s="23">
        <f t="shared" si="14"/>
        <v>5775.43</v>
      </c>
      <c r="AH40" s="23">
        <f t="shared" si="15"/>
        <v>6278.0116666666663</v>
      </c>
      <c r="AI40" s="24">
        <f t="shared" si="16"/>
        <v>7410.95</v>
      </c>
      <c r="AJ40" s="24">
        <f t="shared" si="17"/>
        <v>6835.9624999999996</v>
      </c>
      <c r="AK40" s="24">
        <f t="shared" si="18"/>
        <v>6529.3024999999998</v>
      </c>
      <c r="AL40" s="24">
        <f t="shared" si="19"/>
        <v>6674.1141666666672</v>
      </c>
      <c r="AM40" s="24">
        <f t="shared" si="20"/>
        <v>6767.8158333333331</v>
      </c>
      <c r="AN40" s="24">
        <f t="shared" si="21"/>
        <v>6933.9233333333332</v>
      </c>
      <c r="AO40" s="24">
        <f t="shared" si="22"/>
        <v>6384.4908333333333</v>
      </c>
      <c r="AP40" s="24">
        <f t="shared" si="23"/>
        <v>6831.7033333333329</v>
      </c>
      <c r="AQ40" s="24">
        <f t="shared" si="2"/>
        <v>5191.9241666666667</v>
      </c>
      <c r="AR40" s="24">
        <f t="shared" si="1"/>
        <v>4063.2449999999999</v>
      </c>
    </row>
    <row r="41" spans="1:44" x14ac:dyDescent="0.25">
      <c r="A41" s="32" t="s">
        <v>69</v>
      </c>
      <c r="B41" s="32">
        <v>139</v>
      </c>
      <c r="C41" s="57">
        <v>25</v>
      </c>
      <c r="D41" s="4">
        <v>30</v>
      </c>
      <c r="E41" s="4">
        <v>54</v>
      </c>
      <c r="F41" s="59">
        <v>37</v>
      </c>
      <c r="G41" s="4"/>
      <c r="H41" s="59"/>
      <c r="I41" s="59"/>
      <c r="J41" s="59"/>
      <c r="K41" s="59"/>
      <c r="L41" s="4"/>
      <c r="M41" s="4"/>
      <c r="N41" s="4"/>
      <c r="O41" s="68">
        <f t="shared" si="0"/>
        <v>36.5</v>
      </c>
      <c r="P41" t="s">
        <v>69</v>
      </c>
      <c r="R41" s="43">
        <v>47</v>
      </c>
      <c r="S41" s="20">
        <v>53</v>
      </c>
      <c r="T41" s="20">
        <v>59.916666666666664</v>
      </c>
      <c r="U41" s="20">
        <v>51</v>
      </c>
      <c r="V41" s="20">
        <v>60.083333333333336</v>
      </c>
      <c r="W41" s="20">
        <v>53.916666666666664</v>
      </c>
      <c r="X41" s="20">
        <v>86.75</v>
      </c>
      <c r="Y41" s="20">
        <v>66.916666666666671</v>
      </c>
      <c r="Z41" s="20">
        <v>69.583333333333329</v>
      </c>
      <c r="AA41" s="20">
        <v>62.666666666666664</v>
      </c>
      <c r="AB41" s="20">
        <v>76.166666666666671</v>
      </c>
      <c r="AC41" s="70">
        <v>57.916666666666664</v>
      </c>
      <c r="AD41" s="73">
        <f t="shared" si="12"/>
        <v>36.5</v>
      </c>
      <c r="AE41" s="23">
        <v>44.63</v>
      </c>
      <c r="AF41" s="23">
        <f t="shared" si="13"/>
        <v>2097.61</v>
      </c>
      <c r="AG41" s="23">
        <f t="shared" si="14"/>
        <v>2365.3900000000003</v>
      </c>
      <c r="AH41" s="23">
        <f t="shared" si="15"/>
        <v>2674.0808333333334</v>
      </c>
      <c r="AI41" s="24">
        <f t="shared" si="16"/>
        <v>2276.13</v>
      </c>
      <c r="AJ41" s="24">
        <f t="shared" si="17"/>
        <v>2681.5191666666669</v>
      </c>
      <c r="AK41" s="24">
        <f t="shared" si="18"/>
        <v>2406.3008333333332</v>
      </c>
      <c r="AL41" s="24">
        <f t="shared" si="19"/>
        <v>3871.6525000000001</v>
      </c>
      <c r="AM41" s="24">
        <f t="shared" si="20"/>
        <v>2986.4908333333337</v>
      </c>
      <c r="AN41" s="24">
        <f t="shared" si="21"/>
        <v>3105.5041666666666</v>
      </c>
      <c r="AO41" s="24">
        <f t="shared" si="22"/>
        <v>2796.8133333333335</v>
      </c>
      <c r="AP41" s="24">
        <f t="shared" si="23"/>
        <v>3399.3183333333336</v>
      </c>
      <c r="AQ41" s="24">
        <f t="shared" si="2"/>
        <v>2584.8208333333332</v>
      </c>
      <c r="AR41" s="24">
        <f t="shared" si="1"/>
        <v>1628.9950000000001</v>
      </c>
    </row>
    <row r="42" spans="1:44" x14ac:dyDescent="0.25">
      <c r="A42" s="32" t="s">
        <v>70</v>
      </c>
      <c r="B42" s="32">
        <v>140</v>
      </c>
      <c r="C42" s="57">
        <v>88</v>
      </c>
      <c r="D42" s="4">
        <v>354</v>
      </c>
      <c r="E42" s="4">
        <v>358</v>
      </c>
      <c r="F42" s="59">
        <v>196</v>
      </c>
      <c r="G42" s="4"/>
      <c r="H42" s="59"/>
      <c r="I42" s="59"/>
      <c r="J42" s="59"/>
      <c r="K42" s="59"/>
      <c r="L42" s="4"/>
      <c r="M42" s="4"/>
      <c r="N42" s="4"/>
      <c r="O42" s="68">
        <f t="shared" si="0"/>
        <v>249</v>
      </c>
      <c r="P42" t="s">
        <v>70</v>
      </c>
      <c r="R42" s="43">
        <v>42</v>
      </c>
      <c r="S42" s="20">
        <v>57</v>
      </c>
      <c r="T42" s="20">
        <v>131.58333333333334</v>
      </c>
      <c r="U42" s="20">
        <v>135</v>
      </c>
      <c r="V42" s="20">
        <v>145.33333333333334</v>
      </c>
      <c r="W42" s="20">
        <v>164.83333333333334</v>
      </c>
      <c r="X42" s="20">
        <v>232.33333333333334</v>
      </c>
      <c r="Y42" s="20">
        <v>171.83333333333334</v>
      </c>
      <c r="Z42" s="20">
        <v>211.91666666666666</v>
      </c>
      <c r="AA42" s="20">
        <v>233.91666666666666</v>
      </c>
      <c r="AB42" s="20">
        <v>277.91666666666669</v>
      </c>
      <c r="AC42" s="70">
        <v>266.08333333333331</v>
      </c>
      <c r="AD42" s="73">
        <f t="shared" si="12"/>
        <v>249</v>
      </c>
      <c r="AE42" s="23">
        <v>48.4</v>
      </c>
      <c r="AF42" s="23">
        <f t="shared" si="13"/>
        <v>2032.8</v>
      </c>
      <c r="AG42" s="23">
        <f t="shared" si="14"/>
        <v>2758.7999999999997</v>
      </c>
      <c r="AH42" s="23">
        <f t="shared" si="15"/>
        <v>6368.6333333333332</v>
      </c>
      <c r="AI42" s="24">
        <f t="shared" si="16"/>
        <v>6534</v>
      </c>
      <c r="AJ42" s="24">
        <f t="shared" si="17"/>
        <v>7034.1333333333332</v>
      </c>
      <c r="AK42" s="24">
        <f t="shared" si="18"/>
        <v>7977.9333333333334</v>
      </c>
      <c r="AL42" s="24">
        <f t="shared" si="19"/>
        <v>11244.933333333334</v>
      </c>
      <c r="AM42" s="24">
        <f t="shared" si="20"/>
        <v>8316.7333333333336</v>
      </c>
      <c r="AN42" s="24">
        <f t="shared" si="21"/>
        <v>10256.766666666666</v>
      </c>
      <c r="AO42" s="24">
        <f t="shared" si="22"/>
        <v>11321.566666666666</v>
      </c>
      <c r="AP42" s="24">
        <f t="shared" si="23"/>
        <v>13451.166666666668</v>
      </c>
      <c r="AQ42" s="24">
        <f t="shared" si="2"/>
        <v>12878.433333333332</v>
      </c>
      <c r="AR42" s="24">
        <f t="shared" si="1"/>
        <v>12051.6</v>
      </c>
    </row>
    <row r="43" spans="1:44" x14ac:dyDescent="0.25">
      <c r="A43" s="33" t="s">
        <v>115</v>
      </c>
      <c r="B43" s="34" t="s">
        <v>128</v>
      </c>
      <c r="C43" s="57">
        <v>525</v>
      </c>
      <c r="D43" s="4">
        <v>179</v>
      </c>
      <c r="E43" s="4">
        <f>253+163</f>
        <v>416</v>
      </c>
      <c r="F43" s="59">
        <f>144+47</f>
        <v>191</v>
      </c>
      <c r="G43" s="4"/>
      <c r="H43" s="59"/>
      <c r="I43" s="59"/>
      <c r="J43" s="59"/>
      <c r="K43" s="59"/>
      <c r="L43" s="4"/>
      <c r="M43" s="4"/>
      <c r="N43" s="4"/>
      <c r="O43" s="68">
        <f t="shared" si="0"/>
        <v>327.75</v>
      </c>
      <c r="P43" t="s">
        <v>116</v>
      </c>
      <c r="R43" s="20">
        <v>595.58333333333337</v>
      </c>
      <c r="S43" s="20">
        <v>364</v>
      </c>
      <c r="T43" s="20">
        <v>253</v>
      </c>
      <c r="U43" s="20">
        <v>260</v>
      </c>
      <c r="V43" s="20">
        <v>333.58333333333331</v>
      </c>
      <c r="W43" s="20">
        <v>353</v>
      </c>
      <c r="X43" s="20">
        <v>480.33333333333331</v>
      </c>
      <c r="Y43" s="20">
        <v>301.75</v>
      </c>
      <c r="Z43" s="20">
        <v>299.33333333333331</v>
      </c>
      <c r="AA43" s="20">
        <v>421.41666666666669</v>
      </c>
      <c r="AB43" s="20">
        <v>576</v>
      </c>
      <c r="AC43" s="70">
        <v>410.75</v>
      </c>
      <c r="AD43" s="73">
        <f t="shared" si="12"/>
        <v>327.75</v>
      </c>
      <c r="AE43" s="23">
        <v>60</v>
      </c>
      <c r="AF43" s="23">
        <f t="shared" si="13"/>
        <v>35735</v>
      </c>
      <c r="AG43" s="23">
        <f t="shared" si="14"/>
        <v>21840</v>
      </c>
      <c r="AH43" s="23">
        <f t="shared" si="15"/>
        <v>15180</v>
      </c>
      <c r="AI43" s="24">
        <f t="shared" si="16"/>
        <v>15600</v>
      </c>
      <c r="AJ43" s="24">
        <f t="shared" si="17"/>
        <v>20015</v>
      </c>
      <c r="AK43" s="24">
        <f t="shared" si="18"/>
        <v>21180</v>
      </c>
      <c r="AL43" s="24">
        <f t="shared" si="19"/>
        <v>28820</v>
      </c>
      <c r="AM43" s="24">
        <f t="shared" si="20"/>
        <v>18105</v>
      </c>
      <c r="AN43" s="24">
        <f t="shared" si="21"/>
        <v>17960</v>
      </c>
      <c r="AO43" s="24">
        <f t="shared" si="22"/>
        <v>25285</v>
      </c>
      <c r="AP43" s="24">
        <f t="shared" si="23"/>
        <v>34560</v>
      </c>
      <c r="AQ43" s="24">
        <f t="shared" si="2"/>
        <v>24645</v>
      </c>
      <c r="AR43" s="24">
        <f t="shared" si="1"/>
        <v>19665</v>
      </c>
    </row>
    <row r="44" spans="1:44" x14ac:dyDescent="0.25">
      <c r="A44" s="32" t="s">
        <v>104</v>
      </c>
      <c r="B44" s="37">
        <v>150</v>
      </c>
      <c r="C44" s="57">
        <v>129</v>
      </c>
      <c r="D44" s="4">
        <v>89</v>
      </c>
      <c r="E44" s="4">
        <v>195</v>
      </c>
      <c r="F44" s="59">
        <v>148</v>
      </c>
      <c r="G44" s="4"/>
      <c r="H44" s="59"/>
      <c r="I44" s="59"/>
      <c r="J44" s="59"/>
      <c r="K44" s="59"/>
      <c r="L44" s="4"/>
      <c r="M44" s="4"/>
      <c r="N44" s="4"/>
      <c r="O44" s="68">
        <f t="shared" si="0"/>
        <v>140.25</v>
      </c>
      <c r="P44" t="s">
        <v>104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15.166666666666666</v>
      </c>
      <c r="AA44" s="20">
        <v>133.5</v>
      </c>
      <c r="AB44" s="20">
        <v>179</v>
      </c>
      <c r="AC44" s="70">
        <v>174.66666666666666</v>
      </c>
      <c r="AD44" s="73">
        <f t="shared" si="12"/>
        <v>140.25</v>
      </c>
      <c r="AE44" s="23">
        <v>56.26</v>
      </c>
      <c r="AF44" s="23">
        <f t="shared" si="13"/>
        <v>0</v>
      </c>
      <c r="AG44" s="23">
        <f t="shared" si="14"/>
        <v>0</v>
      </c>
      <c r="AH44" s="23">
        <f t="shared" si="15"/>
        <v>0</v>
      </c>
      <c r="AI44" s="24">
        <f t="shared" si="16"/>
        <v>0</v>
      </c>
      <c r="AJ44" s="24">
        <f t="shared" si="17"/>
        <v>0</v>
      </c>
      <c r="AK44" s="24">
        <f t="shared" si="18"/>
        <v>0</v>
      </c>
      <c r="AL44" s="24">
        <f t="shared" si="19"/>
        <v>0</v>
      </c>
      <c r="AM44" s="24">
        <f t="shared" si="20"/>
        <v>0</v>
      </c>
      <c r="AN44" s="24">
        <f t="shared" si="21"/>
        <v>853.27666666666664</v>
      </c>
      <c r="AO44" s="24">
        <f t="shared" si="22"/>
        <v>7510.71</v>
      </c>
      <c r="AP44" s="24">
        <f t="shared" si="23"/>
        <v>10070.539999999999</v>
      </c>
      <c r="AQ44" s="24">
        <f t="shared" si="2"/>
        <v>9826.746666666666</v>
      </c>
      <c r="AR44" s="24">
        <f t="shared" si="1"/>
        <v>7890.4650000000001</v>
      </c>
    </row>
    <row r="45" spans="1:44" x14ac:dyDescent="0.25">
      <c r="A45" s="32" t="s">
        <v>82</v>
      </c>
      <c r="B45" s="32">
        <v>142</v>
      </c>
      <c r="C45" s="57">
        <v>15</v>
      </c>
      <c r="D45" s="4">
        <v>25</v>
      </c>
      <c r="E45" s="4">
        <v>28</v>
      </c>
      <c r="F45" s="59">
        <v>8</v>
      </c>
      <c r="G45" s="4"/>
      <c r="H45" s="59"/>
      <c r="I45" s="59"/>
      <c r="J45" s="59"/>
      <c r="K45" s="59"/>
      <c r="L45" s="4"/>
      <c r="M45" s="4"/>
      <c r="N45" s="4"/>
      <c r="O45" s="68">
        <f>AVERAGE(C45:N45)</f>
        <v>19</v>
      </c>
      <c r="P45" t="s">
        <v>82</v>
      </c>
      <c r="R45" s="20">
        <v>0</v>
      </c>
      <c r="S45" s="20">
        <v>0</v>
      </c>
      <c r="T45" s="20">
        <v>0</v>
      </c>
      <c r="U45" s="20">
        <v>0</v>
      </c>
      <c r="V45" s="20">
        <v>21</v>
      </c>
      <c r="W45" s="20">
        <v>42.333333333333336</v>
      </c>
      <c r="X45" s="20">
        <v>60.666666666666664</v>
      </c>
      <c r="Y45" s="20">
        <v>38.666666666666664</v>
      </c>
      <c r="Z45" s="20">
        <v>41.916666666666664</v>
      </c>
      <c r="AA45" s="20">
        <v>49.416666666666664</v>
      </c>
      <c r="AB45" s="20">
        <v>29.833333333333332</v>
      </c>
      <c r="AC45" s="70">
        <v>25.416666666666668</v>
      </c>
      <c r="AD45" s="73">
        <f t="shared" si="12"/>
        <v>19</v>
      </c>
      <c r="AE45" s="23">
        <v>88.5</v>
      </c>
      <c r="AF45" s="23">
        <f t="shared" si="13"/>
        <v>0</v>
      </c>
      <c r="AG45" s="23">
        <f t="shared" si="14"/>
        <v>0</v>
      </c>
      <c r="AH45" s="23">
        <f t="shared" si="15"/>
        <v>0</v>
      </c>
      <c r="AI45" s="24">
        <f t="shared" si="16"/>
        <v>0</v>
      </c>
      <c r="AJ45" s="24">
        <f t="shared" si="17"/>
        <v>1858.5</v>
      </c>
      <c r="AK45" s="24">
        <f t="shared" si="18"/>
        <v>3746.5</v>
      </c>
      <c r="AL45" s="24">
        <f t="shared" si="19"/>
        <v>5369</v>
      </c>
      <c r="AM45" s="24">
        <f t="shared" si="20"/>
        <v>3422</v>
      </c>
      <c r="AN45" s="24">
        <f t="shared" si="21"/>
        <v>3709.625</v>
      </c>
      <c r="AO45" s="24">
        <f t="shared" si="22"/>
        <v>4373.375</v>
      </c>
      <c r="AP45" s="24">
        <f t="shared" si="23"/>
        <v>2640.25</v>
      </c>
      <c r="AQ45" s="24">
        <f t="shared" si="2"/>
        <v>2249.375</v>
      </c>
      <c r="AR45" s="24">
        <f t="shared" si="1"/>
        <v>1681.5</v>
      </c>
    </row>
    <row r="46" spans="1:44" x14ac:dyDescent="0.25">
      <c r="A46" s="32" t="s">
        <v>42</v>
      </c>
      <c r="B46" s="32">
        <v>109</v>
      </c>
      <c r="C46" s="57">
        <v>752</v>
      </c>
      <c r="D46" s="4">
        <f>604+(9*20)-9</f>
        <v>775</v>
      </c>
      <c r="E46" s="4">
        <v>966</v>
      </c>
      <c r="F46" s="59">
        <v>836</v>
      </c>
      <c r="G46" s="4"/>
      <c r="H46" s="59"/>
      <c r="I46" s="59"/>
      <c r="J46" s="59"/>
      <c r="K46" s="59"/>
      <c r="L46" s="4"/>
      <c r="M46" s="4"/>
      <c r="N46" s="4"/>
      <c r="O46" s="68">
        <f>AVERAGE(C46:N46)</f>
        <v>832.25</v>
      </c>
      <c r="P46" t="s">
        <v>42</v>
      </c>
      <c r="R46" s="20">
        <v>1030.8333333333333</v>
      </c>
      <c r="S46" s="20">
        <v>899</v>
      </c>
      <c r="T46" s="20">
        <v>940.58333333333337</v>
      </c>
      <c r="U46" s="20">
        <v>929</v>
      </c>
      <c r="V46" s="20">
        <v>993</v>
      </c>
      <c r="W46" s="20">
        <v>1045.0833333333333</v>
      </c>
      <c r="X46" s="20">
        <v>1095.9166666666667</v>
      </c>
      <c r="Y46" s="20">
        <v>918.08333333333337</v>
      </c>
      <c r="Z46" s="20">
        <v>946</v>
      </c>
      <c r="AA46" s="20">
        <v>1027.4166666666667</v>
      </c>
      <c r="AB46" s="20">
        <v>1047.1666666666667</v>
      </c>
      <c r="AC46" s="70">
        <v>965.16666666666663</v>
      </c>
      <c r="AD46" s="73">
        <f t="shared" si="12"/>
        <v>832.25</v>
      </c>
      <c r="AE46" s="23">
        <v>99</v>
      </c>
      <c r="AF46" s="23">
        <f t="shared" si="13"/>
        <v>102052.49999999999</v>
      </c>
      <c r="AG46" s="23">
        <f t="shared" si="14"/>
        <v>89001</v>
      </c>
      <c r="AH46" s="23">
        <f t="shared" si="15"/>
        <v>93117.75</v>
      </c>
      <c r="AI46" s="24">
        <f t="shared" si="16"/>
        <v>91971</v>
      </c>
      <c r="AJ46" s="24">
        <f t="shared" si="17"/>
        <v>98307</v>
      </c>
      <c r="AK46" s="24">
        <f t="shared" si="18"/>
        <v>103463.24999999999</v>
      </c>
      <c r="AL46" s="24">
        <f t="shared" si="19"/>
        <v>108495.75000000001</v>
      </c>
      <c r="AM46" s="24">
        <f t="shared" si="20"/>
        <v>90890.25</v>
      </c>
      <c r="AN46" s="24">
        <f t="shared" si="21"/>
        <v>93654</v>
      </c>
      <c r="AO46" s="24">
        <f t="shared" si="22"/>
        <v>101714.25000000001</v>
      </c>
      <c r="AP46" s="24">
        <f t="shared" si="23"/>
        <v>103669.50000000001</v>
      </c>
      <c r="AQ46" s="24">
        <f t="shared" si="2"/>
        <v>95551.5</v>
      </c>
      <c r="AR46" s="24">
        <f t="shared" si="1"/>
        <v>82392.75</v>
      </c>
    </row>
    <row r="47" spans="1:44" x14ac:dyDescent="0.25">
      <c r="A47" s="32" t="s">
        <v>101</v>
      </c>
      <c r="B47" s="32">
        <v>151</v>
      </c>
      <c r="C47" s="57">
        <v>50</v>
      </c>
      <c r="D47" s="4">
        <v>38</v>
      </c>
      <c r="E47" s="4">
        <v>98</v>
      </c>
      <c r="F47" s="59">
        <v>62</v>
      </c>
      <c r="G47" s="4"/>
      <c r="H47" s="59"/>
      <c r="I47" s="59"/>
      <c r="J47" s="59"/>
      <c r="K47" s="59"/>
      <c r="L47" s="4"/>
      <c r="M47" s="4"/>
      <c r="N47" s="4"/>
      <c r="O47" s="68">
        <f>AVERAGE(C47:N47)</f>
        <v>62</v>
      </c>
      <c r="P47" t="s">
        <v>101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4.166666666666667</v>
      </c>
      <c r="AA47" s="20">
        <v>56.166666666666664</v>
      </c>
      <c r="AB47" s="20">
        <v>128.25</v>
      </c>
      <c r="AC47" s="70">
        <v>95.75</v>
      </c>
      <c r="AD47" s="73">
        <f t="shared" si="12"/>
        <v>62</v>
      </c>
      <c r="AE47" s="23">
        <v>112.85</v>
      </c>
      <c r="AF47" s="23">
        <f t="shared" si="13"/>
        <v>0</v>
      </c>
      <c r="AG47" s="23">
        <f t="shared" si="14"/>
        <v>0</v>
      </c>
      <c r="AH47" s="23">
        <f t="shared" si="15"/>
        <v>0</v>
      </c>
      <c r="AI47" s="24">
        <f t="shared" si="16"/>
        <v>0</v>
      </c>
      <c r="AJ47" s="24">
        <f t="shared" si="17"/>
        <v>0</v>
      </c>
      <c r="AK47" s="24">
        <f t="shared" si="18"/>
        <v>0</v>
      </c>
      <c r="AL47" s="24">
        <f t="shared" si="19"/>
        <v>0</v>
      </c>
      <c r="AM47" s="24">
        <f t="shared" si="20"/>
        <v>0</v>
      </c>
      <c r="AN47" s="24">
        <f t="shared" si="21"/>
        <v>470.20833333333337</v>
      </c>
      <c r="AO47" s="24">
        <f t="shared" si="22"/>
        <v>6338.4083333333328</v>
      </c>
      <c r="AP47" s="24">
        <f t="shared" si="23"/>
        <v>14473.012499999999</v>
      </c>
      <c r="AQ47" s="24">
        <f t="shared" si="2"/>
        <v>10805.387499999999</v>
      </c>
      <c r="AR47" s="24">
        <f t="shared" si="1"/>
        <v>6996.7</v>
      </c>
    </row>
    <row r="48" spans="1:44" x14ac:dyDescent="0.25">
      <c r="A48" s="32" t="s">
        <v>43</v>
      </c>
      <c r="B48" s="32">
        <v>134</v>
      </c>
      <c r="C48" s="57">
        <v>329</v>
      </c>
      <c r="D48" s="4">
        <f>107+(8*20)-8</f>
        <v>259</v>
      </c>
      <c r="E48" s="4">
        <v>340</v>
      </c>
      <c r="F48" s="59">
        <v>679</v>
      </c>
      <c r="G48" s="4"/>
      <c r="H48" s="59"/>
      <c r="I48" s="59"/>
      <c r="J48" s="59"/>
      <c r="K48" s="59"/>
      <c r="L48" s="4"/>
      <c r="M48" s="4"/>
      <c r="N48" s="4"/>
      <c r="O48" s="68">
        <f>AVERAGE(C48:N48)</f>
        <v>401.75</v>
      </c>
      <c r="P48" t="s">
        <v>43</v>
      </c>
      <c r="R48" s="20">
        <v>377.5</v>
      </c>
      <c r="S48" s="20">
        <v>261</v>
      </c>
      <c r="T48" s="20">
        <v>239.58333333333334</v>
      </c>
      <c r="U48" s="20">
        <v>239</v>
      </c>
      <c r="V48" s="20">
        <v>257.33333333333331</v>
      </c>
      <c r="W48" s="20">
        <v>279.83333333333331</v>
      </c>
      <c r="X48" s="20">
        <v>329.25</v>
      </c>
      <c r="Y48" s="20">
        <v>322.5</v>
      </c>
      <c r="Z48" s="20">
        <v>338.83333333333331</v>
      </c>
      <c r="AA48" s="20">
        <v>392.41666666666669</v>
      </c>
      <c r="AB48" s="20">
        <v>373.66666666666669</v>
      </c>
      <c r="AC48" s="70">
        <v>405.5</v>
      </c>
      <c r="AD48" s="73">
        <f t="shared" si="12"/>
        <v>401.75</v>
      </c>
      <c r="AE48" s="23">
        <v>92.2</v>
      </c>
      <c r="AF48" s="23">
        <f t="shared" si="13"/>
        <v>34805.5</v>
      </c>
      <c r="AG48" s="23">
        <f t="shared" si="14"/>
        <v>24064.2</v>
      </c>
      <c r="AH48" s="23">
        <f t="shared" si="15"/>
        <v>22089.583333333336</v>
      </c>
      <c r="AI48" s="24">
        <f t="shared" si="16"/>
        <v>22035.8</v>
      </c>
      <c r="AJ48" s="24">
        <f t="shared" si="17"/>
        <v>23726.133333333331</v>
      </c>
      <c r="AK48" s="24">
        <f t="shared" si="18"/>
        <v>25800.633333333331</v>
      </c>
      <c r="AL48" s="24">
        <f t="shared" si="19"/>
        <v>30356.850000000002</v>
      </c>
      <c r="AM48" s="24">
        <f t="shared" si="20"/>
        <v>29734.5</v>
      </c>
      <c r="AN48" s="24">
        <f t="shared" si="21"/>
        <v>31240.433333333334</v>
      </c>
      <c r="AO48" s="24">
        <f t="shared" si="22"/>
        <v>36180.816666666673</v>
      </c>
      <c r="AP48" s="24">
        <f t="shared" si="23"/>
        <v>34452.066666666673</v>
      </c>
      <c r="AQ48" s="24">
        <f t="shared" si="2"/>
        <v>37387.1</v>
      </c>
      <c r="AR48" s="24">
        <f t="shared" si="1"/>
        <v>37041.35</v>
      </c>
    </row>
    <row r="49" spans="1:44" x14ac:dyDescent="0.25">
      <c r="A49" s="32" t="s">
        <v>102</v>
      </c>
      <c r="B49" s="32">
        <v>152</v>
      </c>
      <c r="C49" s="57">
        <v>19</v>
      </c>
      <c r="D49" s="4">
        <v>30</v>
      </c>
      <c r="E49" s="4">
        <v>30</v>
      </c>
      <c r="F49" s="59">
        <v>21</v>
      </c>
      <c r="G49" s="4"/>
      <c r="H49" s="59"/>
      <c r="I49" s="59"/>
      <c r="J49" s="59"/>
      <c r="K49" s="59"/>
      <c r="L49" s="4"/>
      <c r="M49" s="4"/>
      <c r="N49" s="4"/>
      <c r="O49" s="68">
        <f>AVERAGE(C49:N49)</f>
        <v>25</v>
      </c>
      <c r="P49" t="s">
        <v>102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2.0833333333333335</v>
      </c>
      <c r="AA49" s="20">
        <v>18.5</v>
      </c>
      <c r="AB49" s="20">
        <v>48.333333333333336</v>
      </c>
      <c r="AC49" s="70">
        <v>29.166666666666668</v>
      </c>
      <c r="AD49" s="73">
        <f t="shared" si="12"/>
        <v>25</v>
      </c>
      <c r="AE49" s="23">
        <v>160.28</v>
      </c>
      <c r="AF49" s="23">
        <f t="shared" si="13"/>
        <v>0</v>
      </c>
      <c r="AG49" s="23">
        <f t="shared" si="14"/>
        <v>0</v>
      </c>
      <c r="AH49" s="23">
        <f t="shared" si="15"/>
        <v>0</v>
      </c>
      <c r="AI49" s="24">
        <f t="shared" si="16"/>
        <v>0</v>
      </c>
      <c r="AJ49" s="24">
        <f t="shared" si="17"/>
        <v>0</v>
      </c>
      <c r="AK49" s="24">
        <f t="shared" si="18"/>
        <v>0</v>
      </c>
      <c r="AL49" s="24">
        <f t="shared" si="19"/>
        <v>0</v>
      </c>
      <c r="AM49" s="24">
        <f t="shared" si="20"/>
        <v>0</v>
      </c>
      <c r="AN49" s="24">
        <f t="shared" si="21"/>
        <v>333.91666666666669</v>
      </c>
      <c r="AO49" s="24">
        <f t="shared" si="22"/>
        <v>2965.18</v>
      </c>
      <c r="AP49" s="24">
        <f t="shared" si="23"/>
        <v>7746.8666666666668</v>
      </c>
      <c r="AQ49" s="24">
        <f t="shared" si="2"/>
        <v>4674.8333333333339</v>
      </c>
      <c r="AR49" s="24">
        <f t="shared" si="1"/>
        <v>4007</v>
      </c>
    </row>
    <row r="50" spans="1:44" x14ac:dyDescent="0.25">
      <c r="A50" s="32" t="s">
        <v>44</v>
      </c>
      <c r="B50" s="32">
        <v>110</v>
      </c>
      <c r="C50" s="57">
        <v>55</v>
      </c>
      <c r="D50" s="4">
        <v>30</v>
      </c>
      <c r="E50" s="4">
        <v>56</v>
      </c>
      <c r="F50" s="59">
        <v>40</v>
      </c>
      <c r="G50" s="4"/>
      <c r="H50" s="59"/>
      <c r="I50" s="59"/>
      <c r="J50" s="59"/>
      <c r="K50" s="59"/>
      <c r="L50" s="4"/>
      <c r="M50" s="4"/>
      <c r="N50" s="4"/>
      <c r="O50" s="68">
        <f t="shared" si="0"/>
        <v>45.25</v>
      </c>
      <c r="P50" t="s">
        <v>45</v>
      </c>
      <c r="R50" s="20">
        <v>100.5</v>
      </c>
      <c r="S50" s="20">
        <v>74</v>
      </c>
      <c r="T50" s="20">
        <v>85</v>
      </c>
      <c r="U50" s="20">
        <v>87</v>
      </c>
      <c r="V50" s="20">
        <v>110.25</v>
      </c>
      <c r="W50" s="20">
        <v>122.41666666666667</v>
      </c>
      <c r="X50" s="20">
        <v>88.583333333333329</v>
      </c>
      <c r="Y50" s="20">
        <v>60.25</v>
      </c>
      <c r="Z50" s="20">
        <v>61</v>
      </c>
      <c r="AA50" s="20">
        <v>70.25</v>
      </c>
      <c r="AB50" s="20">
        <v>61.5</v>
      </c>
      <c r="AC50" s="70">
        <v>52.75</v>
      </c>
      <c r="AD50" s="73">
        <f t="shared" si="12"/>
        <v>45.25</v>
      </c>
      <c r="AE50" s="23">
        <v>205.9</v>
      </c>
      <c r="AF50" s="23">
        <f t="shared" si="13"/>
        <v>20692.95</v>
      </c>
      <c r="AG50" s="23">
        <f t="shared" si="14"/>
        <v>15236.6</v>
      </c>
      <c r="AH50" s="23">
        <f t="shared" si="15"/>
        <v>17501.5</v>
      </c>
      <c r="AI50" s="24">
        <f t="shared" si="16"/>
        <v>17913.3</v>
      </c>
      <c r="AJ50" s="24">
        <f t="shared" si="17"/>
        <v>22700.475000000002</v>
      </c>
      <c r="AK50" s="24">
        <f t="shared" si="18"/>
        <v>25205.591666666667</v>
      </c>
      <c r="AL50" s="24">
        <f t="shared" si="19"/>
        <v>18239.308333333334</v>
      </c>
      <c r="AM50" s="24">
        <f t="shared" si="20"/>
        <v>12405.475</v>
      </c>
      <c r="AN50" s="24">
        <f t="shared" si="21"/>
        <v>12559.9</v>
      </c>
      <c r="AO50" s="24">
        <f t="shared" si="22"/>
        <v>14464.475</v>
      </c>
      <c r="AP50" s="24">
        <f t="shared" si="23"/>
        <v>12662.85</v>
      </c>
      <c r="AQ50" s="24">
        <f t="shared" si="2"/>
        <v>10861.225</v>
      </c>
      <c r="AR50" s="24">
        <f t="shared" si="1"/>
        <v>9316.9750000000004</v>
      </c>
    </row>
    <row r="51" spans="1:44" x14ac:dyDescent="0.25">
      <c r="A51" s="32" t="s">
        <v>103</v>
      </c>
      <c r="B51" s="32">
        <v>153</v>
      </c>
      <c r="C51" s="57">
        <v>42</v>
      </c>
      <c r="D51" s="4">
        <f>21+(3*20)-3</f>
        <v>78</v>
      </c>
      <c r="E51" s="4">
        <v>25</v>
      </c>
      <c r="F51" s="59">
        <v>22</v>
      </c>
      <c r="G51" s="4"/>
      <c r="H51" s="59"/>
      <c r="I51" s="59"/>
      <c r="J51" s="59"/>
      <c r="K51" s="59"/>
      <c r="L51" s="4"/>
      <c r="M51" s="4"/>
      <c r="N51" s="4"/>
      <c r="O51" s="76">
        <f>AVERAGE(C51:N51)</f>
        <v>41.75</v>
      </c>
      <c r="P51" t="s">
        <v>103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2.1666666666666665</v>
      </c>
      <c r="AA51" s="20">
        <v>13.166666666666666</v>
      </c>
      <c r="AB51" s="20">
        <v>51.25</v>
      </c>
      <c r="AC51" s="70">
        <v>37.75</v>
      </c>
      <c r="AD51" s="73">
        <f t="shared" si="12"/>
        <v>41.75</v>
      </c>
      <c r="AE51" s="23">
        <v>210</v>
      </c>
      <c r="AF51" s="23">
        <f t="shared" si="13"/>
        <v>0</v>
      </c>
      <c r="AG51" s="23">
        <f t="shared" si="14"/>
        <v>0</v>
      </c>
      <c r="AH51" s="23">
        <f t="shared" si="15"/>
        <v>0</v>
      </c>
      <c r="AI51" s="24">
        <f t="shared" si="16"/>
        <v>0</v>
      </c>
      <c r="AJ51" s="24">
        <f t="shared" si="17"/>
        <v>0</v>
      </c>
      <c r="AK51" s="24">
        <f t="shared" si="18"/>
        <v>0</v>
      </c>
      <c r="AL51" s="24">
        <f t="shared" si="19"/>
        <v>0</v>
      </c>
      <c r="AM51" s="24">
        <f t="shared" si="20"/>
        <v>0</v>
      </c>
      <c r="AN51" s="24">
        <f t="shared" si="21"/>
        <v>454.99999999999994</v>
      </c>
      <c r="AO51" s="24">
        <f t="shared" si="22"/>
        <v>2765</v>
      </c>
      <c r="AP51" s="24">
        <f t="shared" si="23"/>
        <v>10762.5</v>
      </c>
      <c r="AQ51" s="24">
        <f t="shared" si="2"/>
        <v>7927.5</v>
      </c>
      <c r="AR51" s="24">
        <f t="shared" si="1"/>
        <v>8767.5</v>
      </c>
    </row>
    <row r="52" spans="1:44" s="7" customFormat="1" x14ac:dyDescent="0.25">
      <c r="A52" s="36" t="s">
        <v>46</v>
      </c>
      <c r="B52" s="36"/>
      <c r="C52" s="10">
        <f>SUM(C37:C51)</f>
        <v>2198</v>
      </c>
      <c r="D52" s="94">
        <f t="shared" ref="D52:I52" si="24">SUM(D37:D51)</f>
        <v>2084</v>
      </c>
      <c r="E52" s="10">
        <f>SUM(E37:E51)</f>
        <v>2797</v>
      </c>
      <c r="F52" s="64">
        <f>SUM(F37:F51)</f>
        <v>2426</v>
      </c>
      <c r="G52" s="10">
        <f>SUM(G37:G51)</f>
        <v>0</v>
      </c>
      <c r="H52" s="64">
        <f>SUM(H37:H51)</f>
        <v>0</v>
      </c>
      <c r="I52" s="64">
        <f t="shared" si="24"/>
        <v>0</v>
      </c>
      <c r="J52" s="64">
        <f>SUM(J37:J51)</f>
        <v>0</v>
      </c>
      <c r="K52" s="64">
        <f t="shared" ref="K52:N52" si="25">SUM(K37:K51)</f>
        <v>0</v>
      </c>
      <c r="L52" s="10">
        <f t="shared" si="25"/>
        <v>0</v>
      </c>
      <c r="M52" s="10">
        <f t="shared" si="25"/>
        <v>0</v>
      </c>
      <c r="N52" s="10">
        <f t="shared" si="25"/>
        <v>0</v>
      </c>
      <c r="O52" s="88">
        <f>SUM(O37:O51)</f>
        <v>2376.25</v>
      </c>
      <c r="P52" s="7" t="s">
        <v>46</v>
      </c>
      <c r="R52" s="22">
        <v>2787</v>
      </c>
      <c r="S52" s="22">
        <v>2409</v>
      </c>
      <c r="T52" s="22">
        <v>2008.75</v>
      </c>
      <c r="U52" s="22">
        <v>2044</v>
      </c>
      <c r="V52" s="40">
        <v>2233.5833333333335</v>
      </c>
      <c r="W52" s="40">
        <v>2354.3333333333335</v>
      </c>
      <c r="X52" s="21">
        <f>SUM(X37:X50)</f>
        <v>2679.3333333333335</v>
      </c>
      <c r="Y52" s="21">
        <f>SUM(Y37:Y50)</f>
        <v>2159.5833333333335</v>
      </c>
      <c r="Z52" s="21">
        <v>2291.916666666667</v>
      </c>
      <c r="AA52" s="21">
        <f>SUM(AA37:AA51)</f>
        <v>2761.9166666666665</v>
      </c>
      <c r="AB52" s="40">
        <f>SUM(AB37:AB51)</f>
        <v>3194.416666666667</v>
      </c>
      <c r="AC52" s="40">
        <f>SUM(AC37:AC51)</f>
        <v>2786.4166666666665</v>
      </c>
      <c r="AD52" s="74">
        <f>SUM(AD37:AD51)</f>
        <v>2376.25</v>
      </c>
      <c r="AE52" s="41"/>
      <c r="AF52" s="41"/>
      <c r="AG52" s="41"/>
      <c r="AH52" s="41"/>
      <c r="AI52" s="42"/>
      <c r="AJ52" s="47"/>
      <c r="AK52" s="47"/>
    </row>
    <row r="53" spans="1:44" x14ac:dyDescent="0.25">
      <c r="A53" s="98" t="s">
        <v>41</v>
      </c>
      <c r="B53" s="90" t="s">
        <v>129</v>
      </c>
      <c r="C53" s="57">
        <v>263</v>
      </c>
      <c r="D53" s="59">
        <v>375</v>
      </c>
      <c r="E53" s="60">
        <v>299</v>
      </c>
      <c r="F53" s="60">
        <v>260</v>
      </c>
      <c r="G53" s="12"/>
      <c r="H53" s="60"/>
      <c r="I53" s="66"/>
      <c r="J53" s="60"/>
      <c r="K53" s="66"/>
      <c r="L53" s="13"/>
      <c r="M53" s="12"/>
      <c r="N53" s="13"/>
      <c r="O53" s="92">
        <f>AVERAGE(C53:N53)</f>
        <v>299.25</v>
      </c>
      <c r="P53" t="s">
        <v>41</v>
      </c>
      <c r="R53" s="20">
        <v>345.75</v>
      </c>
      <c r="S53" s="20">
        <v>394</v>
      </c>
      <c r="T53" s="20">
        <v>465.58333333333331</v>
      </c>
      <c r="U53" s="20">
        <v>423</v>
      </c>
      <c r="V53" s="20">
        <v>512.75</v>
      </c>
      <c r="W53" s="20">
        <v>532.41666666666663</v>
      </c>
      <c r="X53" s="20">
        <v>531</v>
      </c>
      <c r="Y53" s="20">
        <v>449</v>
      </c>
      <c r="Z53" s="20">
        <v>280.66666666666669</v>
      </c>
      <c r="AA53" s="20">
        <v>311.58333333333331</v>
      </c>
      <c r="AB53" s="20">
        <v>328</v>
      </c>
      <c r="AC53" s="70">
        <v>286.66666666666669</v>
      </c>
      <c r="AD53" s="73">
        <f>O53</f>
        <v>299.25</v>
      </c>
      <c r="AE53" s="23">
        <v>81.99</v>
      </c>
      <c r="AF53" s="23">
        <f>+R53*AE53</f>
        <v>28348.0425</v>
      </c>
      <c r="AG53" s="23">
        <f>+S53*AE53</f>
        <v>32304.059999999998</v>
      </c>
      <c r="AH53" s="23">
        <f>+T53*AE53</f>
        <v>38173.177499999998</v>
      </c>
      <c r="AI53" s="24">
        <f>+U53*AE53</f>
        <v>34681.769999999997</v>
      </c>
      <c r="AJ53" s="24">
        <f>+V53*AE53</f>
        <v>42040.372499999998</v>
      </c>
      <c r="AK53" s="24">
        <f>+W53*AE53</f>
        <v>43652.842499999992</v>
      </c>
      <c r="AL53" s="24">
        <f>+X53*AE53</f>
        <v>43536.689999999995</v>
      </c>
      <c r="AM53" s="24">
        <f>+Y53*AE53</f>
        <v>36813.509999999995</v>
      </c>
      <c r="AN53" s="24">
        <f>+Z53*AE53</f>
        <v>23011.86</v>
      </c>
      <c r="AO53" s="24">
        <f>+AA53*AE53</f>
        <v>25546.717499999995</v>
      </c>
      <c r="AP53" s="24">
        <f>+AB53*AE53</f>
        <v>26892.719999999998</v>
      </c>
      <c r="AQ53" s="24">
        <f t="shared" si="2"/>
        <v>23503.8</v>
      </c>
      <c r="AR53" s="24">
        <f t="shared" si="1"/>
        <v>24535.5075</v>
      </c>
    </row>
    <row r="54" spans="1:44" x14ac:dyDescent="0.25">
      <c r="A54" s="89" t="s">
        <v>47</v>
      </c>
      <c r="B54" s="90" t="s">
        <v>127</v>
      </c>
      <c r="C54" s="57">
        <v>2843</v>
      </c>
      <c r="D54" s="57">
        <f>231+54+65+45+454+37+795+208+100</f>
        <v>1989</v>
      </c>
      <c r="E54" s="57">
        <v>3853</v>
      </c>
      <c r="F54" s="57">
        <v>2489</v>
      </c>
      <c r="G54" s="6"/>
      <c r="H54" s="49"/>
      <c r="I54" s="49"/>
      <c r="J54" s="49"/>
      <c r="K54" s="49"/>
      <c r="L54" s="49"/>
      <c r="M54" s="6"/>
      <c r="N54" s="6"/>
      <c r="O54" s="68">
        <f t="shared" si="0"/>
        <v>2793.5</v>
      </c>
      <c r="P54" t="s">
        <v>47</v>
      </c>
      <c r="R54" s="20">
        <v>3497.5833333333335</v>
      </c>
      <c r="S54" s="20">
        <v>2900</v>
      </c>
      <c r="T54" s="20">
        <v>2921.25</v>
      </c>
      <c r="U54" s="20">
        <v>2859</v>
      </c>
      <c r="V54" s="20">
        <v>3002.5</v>
      </c>
      <c r="W54" s="20">
        <v>2716.5833333333335</v>
      </c>
      <c r="X54" s="20">
        <v>2704</v>
      </c>
      <c r="Y54" s="20">
        <v>2609</v>
      </c>
      <c r="Z54" s="20">
        <v>3008.5</v>
      </c>
      <c r="AA54" s="20">
        <v>4205.75</v>
      </c>
      <c r="AB54" s="20">
        <v>3717.4166666666665</v>
      </c>
      <c r="AC54" s="70">
        <v>2978.8333333333335</v>
      </c>
      <c r="AD54" s="73">
        <f>O54</f>
        <v>2793.5</v>
      </c>
      <c r="AE54" s="23">
        <v>23.2</v>
      </c>
      <c r="AF54" s="23">
        <f>+R54*AE54</f>
        <v>81143.933333333334</v>
      </c>
      <c r="AG54" s="23">
        <f>+S54*AE54</f>
        <v>67280</v>
      </c>
      <c r="AH54" s="23">
        <f>+T54*AE54</f>
        <v>67773</v>
      </c>
      <c r="AI54" s="24">
        <f>+U54*AE54</f>
        <v>66328.800000000003</v>
      </c>
      <c r="AJ54" s="24">
        <f>+V54*AE54</f>
        <v>69658</v>
      </c>
      <c r="AK54" s="24">
        <f>+W54*AE54</f>
        <v>63024.733333333337</v>
      </c>
      <c r="AL54" s="24">
        <f>+X54*AE54</f>
        <v>62732.799999999996</v>
      </c>
      <c r="AM54" s="24">
        <f>+Y54*AE54</f>
        <v>60528.799999999996</v>
      </c>
      <c r="AN54" s="24">
        <f>+Z54*AE54</f>
        <v>69797.2</v>
      </c>
      <c r="AO54" s="24">
        <f>+AA54*AE54</f>
        <v>97573.4</v>
      </c>
      <c r="AP54" s="24">
        <f>+AB54*AE54</f>
        <v>86244.066666666666</v>
      </c>
      <c r="AQ54" s="24">
        <f t="shared" si="2"/>
        <v>69108.933333333334</v>
      </c>
      <c r="AR54" s="24">
        <f t="shared" si="1"/>
        <v>64809.2</v>
      </c>
    </row>
    <row r="55" spans="1:44" x14ac:dyDescent="0.25">
      <c r="A55" s="32" t="s">
        <v>48</v>
      </c>
      <c r="B55" s="32">
        <v>126</v>
      </c>
      <c r="C55" s="57">
        <v>87</v>
      </c>
      <c r="D55" s="59">
        <v>55</v>
      </c>
      <c r="E55" s="60">
        <v>82</v>
      </c>
      <c r="F55" s="60">
        <v>15</v>
      </c>
      <c r="G55" s="12"/>
      <c r="H55" s="60"/>
      <c r="I55" s="66"/>
      <c r="J55" s="60"/>
      <c r="K55" s="66"/>
      <c r="L55" s="13"/>
      <c r="M55" s="12"/>
      <c r="N55" s="13"/>
      <c r="O55" s="68">
        <f t="shared" si="0"/>
        <v>59.75</v>
      </c>
      <c r="P55" t="s">
        <v>49</v>
      </c>
      <c r="R55" s="20">
        <v>121.91666666666667</v>
      </c>
      <c r="S55" s="20">
        <v>86</v>
      </c>
      <c r="T55" s="20">
        <v>82.583333333333329</v>
      </c>
      <c r="U55" s="20">
        <v>175</v>
      </c>
      <c r="V55" s="20">
        <v>112.58333333333333</v>
      </c>
      <c r="W55" s="20">
        <v>147.16666666666666</v>
      </c>
      <c r="X55" s="20">
        <v>81.083333333333329</v>
      </c>
      <c r="Y55" s="20">
        <v>80</v>
      </c>
      <c r="Z55" s="20">
        <v>82.583333333333329</v>
      </c>
      <c r="AA55" s="20">
        <v>133.16666666666666</v>
      </c>
      <c r="AB55" s="20">
        <v>93.25</v>
      </c>
      <c r="AC55" s="70">
        <v>90.333333333333329</v>
      </c>
      <c r="AD55" s="73">
        <f>O55</f>
        <v>59.75</v>
      </c>
      <c r="AE55" s="23">
        <v>5.1100000000000003</v>
      </c>
      <c r="AF55" s="23">
        <f>+R55*AE55</f>
        <v>622.99416666666673</v>
      </c>
      <c r="AG55" s="23">
        <f>+S55*AE55</f>
        <v>439.46000000000004</v>
      </c>
      <c r="AH55" s="23">
        <f>+T55*AE55</f>
        <v>422.00083333333333</v>
      </c>
      <c r="AI55" s="24">
        <f>+U55*AE55</f>
        <v>894.25</v>
      </c>
      <c r="AJ55" s="24">
        <f>+V55*AE55</f>
        <v>575.30083333333334</v>
      </c>
      <c r="AK55" s="24">
        <f>+W55*AE55</f>
        <v>752.02166666666665</v>
      </c>
      <c r="AL55" s="24">
        <f>+X55*AE55</f>
        <v>414.33583333333331</v>
      </c>
      <c r="AM55" s="24">
        <f>+Y55*AE55</f>
        <v>408.8</v>
      </c>
      <c r="AN55" s="24">
        <f>+Z55*AE55</f>
        <v>422.00083333333333</v>
      </c>
      <c r="AO55" s="24">
        <f>+AA55*AE55</f>
        <v>680.48166666666668</v>
      </c>
      <c r="AP55" s="24">
        <f>+AB55*AE55</f>
        <v>476.50750000000005</v>
      </c>
      <c r="AQ55" s="24">
        <f t="shared" si="2"/>
        <v>461.60333333333335</v>
      </c>
      <c r="AR55" s="24">
        <f t="shared" si="1"/>
        <v>305.32249999999999</v>
      </c>
    </row>
    <row r="56" spans="1:44" x14ac:dyDescent="0.25">
      <c r="A56" s="32" t="s">
        <v>89</v>
      </c>
      <c r="B56" s="32">
        <v>127</v>
      </c>
      <c r="C56" s="57">
        <v>435</v>
      </c>
      <c r="D56" s="57">
        <v>337</v>
      </c>
      <c r="E56" s="57">
        <v>909</v>
      </c>
      <c r="F56" s="57">
        <v>399</v>
      </c>
      <c r="G56" s="6"/>
      <c r="H56" s="49"/>
      <c r="I56" s="49"/>
      <c r="J56" s="49"/>
      <c r="K56" s="49"/>
      <c r="L56" s="49"/>
      <c r="M56" s="6"/>
      <c r="N56" s="6"/>
      <c r="O56" s="76">
        <f>AVERAGE(C56:N56)</f>
        <v>520</v>
      </c>
      <c r="P56" t="s">
        <v>50</v>
      </c>
      <c r="R56" s="20">
        <v>289.41666666666669</v>
      </c>
      <c r="S56" s="20">
        <v>248</v>
      </c>
      <c r="T56" s="20">
        <v>233.58333333333334</v>
      </c>
      <c r="U56" s="20">
        <v>395</v>
      </c>
      <c r="V56" s="20">
        <v>370</v>
      </c>
      <c r="W56" s="20">
        <v>578.08333333333337</v>
      </c>
      <c r="X56" s="20">
        <v>416</v>
      </c>
      <c r="Y56" s="20">
        <v>392</v>
      </c>
      <c r="Z56" s="20">
        <v>507.66666666666669</v>
      </c>
      <c r="AA56" s="20">
        <v>706.75</v>
      </c>
      <c r="AB56" s="20">
        <v>528.75</v>
      </c>
      <c r="AC56" s="70">
        <v>461.75</v>
      </c>
      <c r="AD56" s="73">
        <f>O56</f>
        <v>520</v>
      </c>
      <c r="AE56" s="23">
        <v>3.3</v>
      </c>
      <c r="AF56" s="23">
        <f>+R56*AE56</f>
        <v>955.07500000000005</v>
      </c>
      <c r="AG56" s="23">
        <f>+S56*AE56</f>
        <v>818.4</v>
      </c>
      <c r="AH56" s="23">
        <f>+T56*AE56</f>
        <v>770.82500000000005</v>
      </c>
      <c r="AI56" s="24">
        <f>+U56*AE56</f>
        <v>1303.5</v>
      </c>
      <c r="AJ56" s="24">
        <f>+V56*AE56</f>
        <v>1221</v>
      </c>
      <c r="AK56" s="24">
        <f>+W56*AE56</f>
        <v>1907.675</v>
      </c>
      <c r="AL56" s="24">
        <f>+X56*AE56</f>
        <v>1372.8</v>
      </c>
      <c r="AM56" s="24">
        <f>+Y56*AE56</f>
        <v>1293.5999999999999</v>
      </c>
      <c r="AN56" s="24">
        <f>+Z56*AE56</f>
        <v>1675.3</v>
      </c>
      <c r="AO56" s="24">
        <f>+AA56*AE56</f>
        <v>2332.2750000000001</v>
      </c>
      <c r="AP56" s="24">
        <f>+AB56*AE56</f>
        <v>1744.875</v>
      </c>
      <c r="AQ56" s="24">
        <f t="shared" si="2"/>
        <v>1523.7749999999999</v>
      </c>
      <c r="AR56" s="24">
        <f t="shared" si="1"/>
        <v>1716</v>
      </c>
    </row>
    <row r="57" spans="1:44" x14ac:dyDescent="0.25">
      <c r="F57" s="65"/>
      <c r="H57" s="65"/>
      <c r="I57" s="65"/>
      <c r="J57" s="65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70"/>
      <c r="AD57" s="73"/>
      <c r="AE57" s="23"/>
      <c r="AF57" s="23"/>
      <c r="AG57" s="23"/>
      <c r="AH57" s="23"/>
      <c r="AI57" s="24"/>
    </row>
    <row r="58" spans="1:44" x14ac:dyDescent="0.25">
      <c r="A58" t="s">
        <v>105</v>
      </c>
      <c r="C58" s="45">
        <v>1545838.7</v>
      </c>
      <c r="D58" s="44">
        <v>1557405.64</v>
      </c>
      <c r="E58" s="44">
        <v>1923385.84</v>
      </c>
      <c r="F58" s="97">
        <v>1620563.66</v>
      </c>
      <c r="G58" s="44"/>
      <c r="H58" s="44"/>
      <c r="I58" s="67"/>
      <c r="J58" s="67"/>
      <c r="K58" s="67"/>
      <c r="L58" s="44"/>
      <c r="M58" s="44"/>
      <c r="N58" s="44"/>
      <c r="O58" s="45">
        <f>AVERAGE(C58:N58)</f>
        <v>1661798.46</v>
      </c>
      <c r="R58" s="20">
        <v>806193.5033333333</v>
      </c>
      <c r="S58" s="20">
        <v>813458.71</v>
      </c>
      <c r="T58" s="20">
        <v>867703.69083333341</v>
      </c>
      <c r="U58" s="20">
        <v>890701.05583333352</v>
      </c>
      <c r="V58" s="20">
        <v>977741.95916666684</v>
      </c>
      <c r="W58" s="20">
        <v>1048779.0991666701</v>
      </c>
      <c r="X58" s="20">
        <v>1265977.4749999999</v>
      </c>
      <c r="Y58" s="20">
        <v>1408748</v>
      </c>
      <c r="Z58" s="20">
        <v>1546287.2291666667</v>
      </c>
      <c r="AA58" s="20">
        <v>1742298</v>
      </c>
      <c r="AB58" s="20">
        <v>1831136.1049999997</v>
      </c>
      <c r="AC58" s="70">
        <f>O58</f>
        <v>1661798.46</v>
      </c>
      <c r="AD58" s="73">
        <f>O58</f>
        <v>1661798.46</v>
      </c>
      <c r="AE58" s="23"/>
      <c r="AF58" s="24">
        <f>SUM(AF2:AF56)</f>
        <v>983702.33166666667</v>
      </c>
      <c r="AG58" s="24">
        <f t="shared" ref="AG58:AM58" si="26">SUM(AG2:AG56)</f>
        <v>846625.33</v>
      </c>
      <c r="AH58" s="24">
        <f t="shared" si="26"/>
        <v>828812.63749999995</v>
      </c>
      <c r="AI58" s="24">
        <f t="shared" si="26"/>
        <v>845113.73</v>
      </c>
      <c r="AJ58" s="24">
        <f t="shared" si="26"/>
        <v>923110.07416666648</v>
      </c>
      <c r="AK58" s="24">
        <f t="shared" si="26"/>
        <v>946784.21833333338</v>
      </c>
      <c r="AL58" s="24">
        <f t="shared" si="26"/>
        <v>996296.24583333335</v>
      </c>
      <c r="AM58" s="24">
        <f t="shared" si="26"/>
        <v>893811.92249999987</v>
      </c>
      <c r="AN58" s="24">
        <f>SUM(AN2:AN56)</f>
        <v>952555.65916667029</v>
      </c>
      <c r="AO58" s="24">
        <f>SUM(AO2:AO56)</f>
        <v>1137433.6058333332</v>
      </c>
      <c r="AP58" s="24">
        <f>SUM(AP2:AP56)</f>
        <v>1201164.7466666668</v>
      </c>
      <c r="AQ58" s="24">
        <f>SUM(AQ2:AQ56)</f>
        <v>1134332.1466666667</v>
      </c>
      <c r="AR58" s="24">
        <f>SUM(AR2:AR56)</f>
        <v>1077394.8724999998</v>
      </c>
    </row>
    <row r="59" spans="1:44" x14ac:dyDescent="0.25">
      <c r="A59" t="s">
        <v>52</v>
      </c>
      <c r="C59" s="11">
        <f>100*(C58-$O$58)/$O$58</f>
        <v>-6.9779677133651941</v>
      </c>
      <c r="D59" s="11">
        <f>100*(D58-$O$58)/$O$58</f>
        <v>-6.281918205652933</v>
      </c>
      <c r="E59" s="11">
        <f>100*(E58-$O$58)/$O$58</f>
        <v>15.741221712288752</v>
      </c>
      <c r="F59" s="11">
        <f t="shared" ref="F59:N59" si="27">100*(F58-$O$58)/$O$58</f>
        <v>-2.4813357932706261</v>
      </c>
      <c r="G59" s="11">
        <f t="shared" si="27"/>
        <v>-100</v>
      </c>
      <c r="H59" s="11">
        <f t="shared" si="27"/>
        <v>-100</v>
      </c>
      <c r="I59" s="11">
        <f t="shared" si="27"/>
        <v>-100</v>
      </c>
      <c r="J59" s="84">
        <f>100*(J58-$O$58)/$O$58</f>
        <v>-100</v>
      </c>
      <c r="K59" s="16">
        <f t="shared" si="27"/>
        <v>-100</v>
      </c>
      <c r="L59" s="11">
        <f t="shared" si="27"/>
        <v>-100</v>
      </c>
      <c r="M59" s="11">
        <f t="shared" si="27"/>
        <v>-100</v>
      </c>
      <c r="N59" s="11">
        <f t="shared" si="27"/>
        <v>-100</v>
      </c>
      <c r="AG59" s="24">
        <f>100*(AG58-AF58)/AF58</f>
        <v>-13.934804996794098</v>
      </c>
      <c r="AH59" s="24">
        <f t="shared" ref="AH59:AK59" si="28">100*(AH58-AG58)/AG58</f>
        <v>-2.1039640403860829</v>
      </c>
      <c r="AI59" s="24">
        <f t="shared" si="28"/>
        <v>1.9668006691078028</v>
      </c>
      <c r="AJ59" s="24">
        <f t="shared" si="28"/>
        <v>9.2290944281151965</v>
      </c>
      <c r="AK59" s="24">
        <f t="shared" si="28"/>
        <v>2.5646068469178638</v>
      </c>
      <c r="AL59" s="24">
        <f t="shared" ref="AL59:AP59" si="29">100*(AL58-AK58)/AK58</f>
        <v>5.2294943812179504</v>
      </c>
      <c r="AM59" s="24">
        <f t="shared" si="29"/>
        <v>-10.286531115814089</v>
      </c>
      <c r="AN59" s="24">
        <f t="shared" si="29"/>
        <v>6.5722704282533702</v>
      </c>
      <c r="AO59" s="24">
        <f t="shared" si="29"/>
        <v>19.40862404076217</v>
      </c>
      <c r="AP59" s="24">
        <f t="shared" si="29"/>
        <v>5.603064698149252</v>
      </c>
      <c r="AQ59" s="24">
        <f>100*(AQ58-AP58)/AP58</f>
        <v>-5.5639828079758562</v>
      </c>
      <c r="AR59" s="24">
        <f>100*(AR58-AQ58)/AQ58</f>
        <v>-5.0194534584937944</v>
      </c>
    </row>
    <row r="60" spans="1:44" s="17" customFormat="1" ht="12.75" x14ac:dyDescent="0.2">
      <c r="C60" s="2" t="s">
        <v>0</v>
      </c>
      <c r="D60" s="2" t="s">
        <v>1</v>
      </c>
      <c r="E60" s="2" t="s">
        <v>2</v>
      </c>
      <c r="F60" s="2" t="s">
        <v>3</v>
      </c>
      <c r="G60" s="2" t="s">
        <v>4</v>
      </c>
      <c r="H60" s="2" t="s">
        <v>5</v>
      </c>
      <c r="I60" s="2" t="s">
        <v>6</v>
      </c>
      <c r="J60" s="2" t="s">
        <v>7</v>
      </c>
      <c r="K60" s="2" t="s">
        <v>8</v>
      </c>
      <c r="L60" s="2" t="s">
        <v>9</v>
      </c>
      <c r="M60" s="2" t="s">
        <v>10</v>
      </c>
      <c r="N60" s="2" t="s">
        <v>11</v>
      </c>
      <c r="O60" s="3" t="s">
        <v>12</v>
      </c>
      <c r="AC60" s="71"/>
      <c r="AD60" s="75"/>
      <c r="AJ60" s="48"/>
      <c r="AK60" s="48"/>
    </row>
    <row r="61" spans="1:44" x14ac:dyDescent="0.25">
      <c r="C61" s="18"/>
      <c r="D61" s="18"/>
      <c r="E61" s="18"/>
      <c r="F61" s="18"/>
      <c r="G61" s="18"/>
      <c r="H61" s="18"/>
      <c r="I61" s="18"/>
      <c r="J61" s="82"/>
      <c r="K61" s="19"/>
      <c r="L61" s="18"/>
      <c r="M61" s="18"/>
      <c r="N61" s="18"/>
    </row>
    <row r="62" spans="1:44" x14ac:dyDescent="0.25">
      <c r="A62" t="s">
        <v>53</v>
      </c>
      <c r="C62" t="s">
        <v>97</v>
      </c>
    </row>
    <row r="63" spans="1:44" x14ac:dyDescent="0.25">
      <c r="C63" t="s">
        <v>98</v>
      </c>
      <c r="AI63" s="24"/>
    </row>
    <row r="64" spans="1:44" x14ac:dyDescent="0.25">
      <c r="C64" t="s">
        <v>54</v>
      </c>
      <c r="AI64" s="24"/>
    </row>
    <row r="65" spans="1:35" x14ac:dyDescent="0.25">
      <c r="AI65" s="24"/>
    </row>
    <row r="67" spans="1:35" x14ac:dyDescent="0.25">
      <c r="H67" s="50"/>
      <c r="AI67" s="24"/>
    </row>
    <row r="68" spans="1:35" x14ac:dyDescent="0.25">
      <c r="A68" s="25"/>
      <c r="B68" s="25"/>
      <c r="C68" t="s">
        <v>58</v>
      </c>
      <c r="AI68" s="24"/>
    </row>
    <row r="69" spans="1:35" x14ac:dyDescent="0.25">
      <c r="A69" s="27"/>
      <c r="B69" s="27"/>
      <c r="C69" t="s">
        <v>59</v>
      </c>
      <c r="AI69" s="24"/>
    </row>
    <row r="70" spans="1:35" x14ac:dyDescent="0.25">
      <c r="A70" s="26"/>
      <c r="B70" s="26"/>
      <c r="C70" t="s">
        <v>60</v>
      </c>
    </row>
    <row r="71" spans="1:35" x14ac:dyDescent="0.25">
      <c r="A71" s="28"/>
      <c r="B71" s="29"/>
      <c r="C71" t="s">
        <v>63</v>
      </c>
    </row>
    <row r="72" spans="1:35" x14ac:dyDescent="0.25">
      <c r="B72" s="30"/>
      <c r="J72" s="83"/>
    </row>
    <row r="73" spans="1:35" x14ac:dyDescent="0.25">
      <c r="B73" s="30"/>
    </row>
    <row r="74" spans="1:35" x14ac:dyDescent="0.25">
      <c r="B74" s="30"/>
    </row>
    <row r="75" spans="1:35" x14ac:dyDescent="0.25">
      <c r="B75" s="30"/>
    </row>
    <row r="76" spans="1:35" x14ac:dyDescent="0.25">
      <c r="B76" s="30"/>
    </row>
  </sheetData>
  <conditionalFormatting sqref="O2">
    <cfRule type="expression" dxfId="0" priority="3">
      <formula>se+$O$2&lt;$AC$2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Sergio</cp:lastModifiedBy>
  <dcterms:created xsi:type="dcterms:W3CDTF">2015-02-02T10:10:50Z</dcterms:created>
  <dcterms:modified xsi:type="dcterms:W3CDTF">2026-05-12T21:12:52Z</dcterms:modified>
</cp:coreProperties>
</file>